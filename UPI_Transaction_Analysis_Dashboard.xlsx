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BD642479-4A76-4863-8384-2FCEF627FA5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UPI_Data" sheetId="1" r:id="rId1"/>
    <sheet name="Sheet2" sheetId="3" r:id="rId2"/>
    <sheet name="Summary_Sheet" sheetId="2" r:id="rId3"/>
  </sheets>
  <definedNames>
    <definedName name="_xlnm._FilterDatabase" localSheetId="0" hidden="1">UPI_Data!$A$1:$I$501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6" i="2"/>
  <c r="B12" i="2" s="1"/>
  <c r="B5" i="2"/>
  <c r="B11" i="2" s="1"/>
  <c r="B4" i="2"/>
  <c r="B3" i="2"/>
  <c r="B7" i="2" l="1"/>
  <c r="B10" i="2"/>
</calcChain>
</file>

<file path=xl/sharedStrings.xml><?xml version="1.0" encoding="utf-8"?>
<sst xmlns="http://schemas.openxmlformats.org/spreadsheetml/2006/main" count="3538" uniqueCount="557">
  <si>
    <t>Transaction_ID</t>
  </si>
  <si>
    <t>Date</t>
  </si>
  <si>
    <t>Month</t>
  </si>
  <si>
    <t>UPI_App</t>
  </si>
  <si>
    <t>Payment_Method</t>
  </si>
  <si>
    <t>City</t>
  </si>
  <si>
    <t>Category</t>
  </si>
  <si>
    <t>Amount_INR</t>
  </si>
  <si>
    <t>Status</t>
  </si>
  <si>
    <t>UPI0234</t>
  </si>
  <si>
    <t>Jan</t>
  </si>
  <si>
    <t>Google Pay</t>
  </si>
  <si>
    <t>UPI ID</t>
  </si>
  <si>
    <t>Delhi</t>
  </si>
  <si>
    <t>Food</t>
  </si>
  <si>
    <t>Failed</t>
  </si>
  <si>
    <t>UPI0493</t>
  </si>
  <si>
    <t>BHIM</t>
  </si>
  <si>
    <t>Education</t>
  </si>
  <si>
    <t>Success</t>
  </si>
  <si>
    <t>UPI0393</t>
  </si>
  <si>
    <t>Mobile Number</t>
  </si>
  <si>
    <t>Noida</t>
  </si>
  <si>
    <t>Pending</t>
  </si>
  <si>
    <t>UPI0230</t>
  </si>
  <si>
    <t>Paytm</t>
  </si>
  <si>
    <t>QR Code</t>
  </si>
  <si>
    <t>UPI0194</t>
  </si>
  <si>
    <t>Varanasi</t>
  </si>
  <si>
    <t>Travel</t>
  </si>
  <si>
    <t>UPI0026</t>
  </si>
  <si>
    <t>PhonePe</t>
  </si>
  <si>
    <t>Groceries</t>
  </si>
  <si>
    <t>UPI0043</t>
  </si>
  <si>
    <t>UPI PIN</t>
  </si>
  <si>
    <t>Kanpur</t>
  </si>
  <si>
    <t>UPI0441</t>
  </si>
  <si>
    <t>Prayagraj</t>
  </si>
  <si>
    <t>Healthcare</t>
  </si>
  <si>
    <t>UPI0447</t>
  </si>
  <si>
    <t>Agra</t>
  </si>
  <si>
    <t>Shopping</t>
  </si>
  <si>
    <t>UPI0170</t>
  </si>
  <si>
    <t>Lucknow</t>
  </si>
  <si>
    <t>UPI0351</t>
  </si>
  <si>
    <t>UPI0418</t>
  </si>
  <si>
    <t>UPI0021</t>
  </si>
  <si>
    <t>Bills</t>
  </si>
  <si>
    <t>UPI0199</t>
  </si>
  <si>
    <t>UPI0483</t>
  </si>
  <si>
    <t>UPI0275</t>
  </si>
  <si>
    <t>UPI0455</t>
  </si>
  <si>
    <t>Gorakhpur</t>
  </si>
  <si>
    <t>UPI0069</t>
  </si>
  <si>
    <t>UPI0285</t>
  </si>
  <si>
    <t>Recharge</t>
  </si>
  <si>
    <t>UPI0128</t>
  </si>
  <si>
    <t>UPI0266</t>
  </si>
  <si>
    <t>UPI0392</t>
  </si>
  <si>
    <t>UPI0467</t>
  </si>
  <si>
    <t>UPI0250</t>
  </si>
  <si>
    <t>UPI0137</t>
  </si>
  <si>
    <t>UPI0229</t>
  </si>
  <si>
    <t>UPI0465</t>
  </si>
  <si>
    <t>UPI0197</t>
  </si>
  <si>
    <t>UPI0240</t>
  </si>
  <si>
    <t>UPI0389</t>
  </si>
  <si>
    <t>UPI0278</t>
  </si>
  <si>
    <t>UPI0016</t>
  </si>
  <si>
    <t>UPI0242</t>
  </si>
  <si>
    <t>UPI0276</t>
  </si>
  <si>
    <t>UPI0297</t>
  </si>
  <si>
    <t>UPI0033</t>
  </si>
  <si>
    <t>UPI0337</t>
  </si>
  <si>
    <t>UPI0048</t>
  </si>
  <si>
    <t>UPI0421</t>
  </si>
  <si>
    <t>UPI0224</t>
  </si>
  <si>
    <t>UPI0143</t>
  </si>
  <si>
    <t>UPI0207</t>
  </si>
  <si>
    <t>UPI0478</t>
  </si>
  <si>
    <t>UPI0349</t>
  </si>
  <si>
    <t>UPI0079</t>
  </si>
  <si>
    <t>Feb</t>
  </si>
  <si>
    <t>UPI0165</t>
  </si>
  <si>
    <t>UPI0331</t>
  </si>
  <si>
    <t>UPI0372</t>
  </si>
  <si>
    <t>UPI0109</t>
  </si>
  <si>
    <t>UPI0470</t>
  </si>
  <si>
    <t>UPI0435</t>
  </si>
  <si>
    <t>UPI0180</t>
  </si>
  <si>
    <t>UPI0348</t>
  </si>
  <si>
    <t>UPI0008</t>
  </si>
  <si>
    <t>UPI0087</t>
  </si>
  <si>
    <t>UPI0058</t>
  </si>
  <si>
    <t>UPI0039</t>
  </si>
  <si>
    <t>UPI0320</t>
  </si>
  <si>
    <t>UPI0132</t>
  </si>
  <si>
    <t>UPI0117</t>
  </si>
  <si>
    <t>UPI0261</t>
  </si>
  <si>
    <t>UPI0497</t>
  </si>
  <si>
    <t>UPI0347</t>
  </si>
  <si>
    <t>UPI0076</t>
  </si>
  <si>
    <t>UPI0373</t>
  </si>
  <si>
    <t>UPI0361</t>
  </si>
  <si>
    <t>UPI0246</t>
  </si>
  <si>
    <t>UPI0438</t>
  </si>
  <si>
    <t>UPI0119</t>
  </si>
  <si>
    <t>UPI0113</t>
  </si>
  <si>
    <t>UPI0322</t>
  </si>
  <si>
    <t>UPI0225</t>
  </si>
  <si>
    <t>UPI0365</t>
  </si>
  <si>
    <t>UPI0356</t>
  </si>
  <si>
    <t>UPI0210</t>
  </si>
  <si>
    <t>UPI0452</t>
  </si>
  <si>
    <t>UPI0425</t>
  </si>
  <si>
    <t>UPI0188</t>
  </si>
  <si>
    <t>UPI0120</t>
  </si>
  <si>
    <t>UPI0068</t>
  </si>
  <si>
    <t>UPI0003</t>
  </si>
  <si>
    <t>UPI0420</t>
  </si>
  <si>
    <t>UPI0422</t>
  </si>
  <si>
    <t>UPI0388</t>
  </si>
  <si>
    <t>UPI0006</t>
  </si>
  <si>
    <t>UPI0009</t>
  </si>
  <si>
    <t>UPI0327</t>
  </si>
  <si>
    <t>UPI0486</t>
  </si>
  <si>
    <t>UPI0002</t>
  </si>
  <si>
    <t>UPI0468</t>
  </si>
  <si>
    <t>UPI0386</t>
  </si>
  <si>
    <t>UPI0123</t>
  </si>
  <si>
    <t>UPI0200</t>
  </si>
  <si>
    <t>UPI0374</t>
  </si>
  <si>
    <t>UPI0384</t>
  </si>
  <si>
    <t>UPI0184</t>
  </si>
  <si>
    <t>UPI0031</t>
  </si>
  <si>
    <t>UPI0277</t>
  </si>
  <si>
    <t>UPI0231</t>
  </si>
  <si>
    <t>UPI0001</t>
  </si>
  <si>
    <t>UPI0177</t>
  </si>
  <si>
    <t>UPI0396</t>
  </si>
  <si>
    <t>UPI0125</t>
  </si>
  <si>
    <t>Mar</t>
  </si>
  <si>
    <t>UPI0316</t>
  </si>
  <si>
    <t>UPI0471</t>
  </si>
  <si>
    <t>UPI0167</t>
  </si>
  <si>
    <t>UPI0216</t>
  </si>
  <si>
    <t>UPI0215</t>
  </si>
  <si>
    <t>UPI0460</t>
  </si>
  <si>
    <t>UPI0044</t>
  </si>
  <si>
    <t>UPI0042</t>
  </si>
  <si>
    <t>UPI0046</t>
  </si>
  <si>
    <t>UPI0397</t>
  </si>
  <si>
    <t>UPI0304</t>
  </si>
  <si>
    <t>UPI0239</t>
  </si>
  <si>
    <t>UPI0084</t>
  </si>
  <si>
    <t>UPI0289</t>
  </si>
  <si>
    <t>UPI0380</t>
  </si>
  <si>
    <t>UPI0400</t>
  </si>
  <si>
    <t>UPI0485</t>
  </si>
  <si>
    <t>UPI0330</t>
  </si>
  <si>
    <t>UPI0343</t>
  </si>
  <si>
    <t>UPI0071</t>
  </si>
  <si>
    <t>UPI0333</t>
  </si>
  <si>
    <t>UPI0020</t>
  </si>
  <si>
    <t>UPI0088</t>
  </si>
  <si>
    <t>UPI0130</t>
  </si>
  <si>
    <t>UPI0190</t>
  </si>
  <si>
    <t>UPI0045</t>
  </si>
  <si>
    <t>UPI0011</t>
  </si>
  <si>
    <t>UPI0495</t>
  </si>
  <si>
    <t>UPI0305</t>
  </si>
  <si>
    <t>UPI0220</t>
  </si>
  <si>
    <t>UPI0263</t>
  </si>
  <si>
    <t>UPI0427</t>
  </si>
  <si>
    <t>UPI0247</t>
  </si>
  <si>
    <t>UPI0383</t>
  </si>
  <si>
    <t>UPI0371</t>
  </si>
  <si>
    <t>UPI0346</t>
  </si>
  <si>
    <t>UPI0286</t>
  </si>
  <si>
    <t>UPI0290</t>
  </si>
  <si>
    <t>UPI0482</t>
  </si>
  <si>
    <t>UPI0301</t>
  </si>
  <si>
    <t>UPI0054</t>
  </si>
  <si>
    <t>Apr</t>
  </si>
  <si>
    <t>UPI0072</t>
  </si>
  <si>
    <t>UPI0448</t>
  </si>
  <si>
    <t>UPI0187</t>
  </si>
  <si>
    <t>UPI0032</t>
  </si>
  <si>
    <t>UPI0302</t>
  </si>
  <si>
    <t>UPI0473</t>
  </si>
  <si>
    <t>UPI0126</t>
  </si>
  <si>
    <t>UPI0274</t>
  </si>
  <si>
    <t>UPI0339</t>
  </si>
  <si>
    <t>UPI0029</t>
  </si>
  <si>
    <t>UPI0291</t>
  </si>
  <si>
    <t>UPI0104</t>
  </si>
  <si>
    <t>UPI0105</t>
  </si>
  <si>
    <t>UPI0454</t>
  </si>
  <si>
    <t>UPI0469</t>
  </si>
  <si>
    <t>UPI0116</t>
  </si>
  <si>
    <t>UPI0376</t>
  </si>
  <si>
    <t>UPI0258</t>
  </si>
  <si>
    <t>UPI0041</t>
  </si>
  <si>
    <t>UPI0409</t>
  </si>
  <si>
    <t>UPI0359</t>
  </si>
  <si>
    <t>UPI0292</t>
  </si>
  <si>
    <t>UPI0047</t>
  </si>
  <si>
    <t>UPI0379</t>
  </si>
  <si>
    <t>UPI0408</t>
  </si>
  <si>
    <t>UPI0085</t>
  </si>
  <si>
    <t>UPI0166</t>
  </si>
  <si>
    <t>UPI0013</t>
  </si>
  <si>
    <t>UPI0067</t>
  </si>
  <si>
    <t>UPI0078</t>
  </si>
  <si>
    <t>UPI0037</t>
  </si>
  <si>
    <t>UPI0428</t>
  </si>
  <si>
    <t>UPI0226</t>
  </si>
  <si>
    <t>UPI0056</t>
  </si>
  <si>
    <t>UPI0312</t>
  </si>
  <si>
    <t>UPI0057</t>
  </si>
  <si>
    <t>UPI0228</t>
  </si>
  <si>
    <t>UPI0218</t>
  </si>
  <si>
    <t>UPI0404</t>
  </si>
  <si>
    <t>UPI0012</t>
  </si>
  <si>
    <t>UPI0357</t>
  </si>
  <si>
    <t>UPI0362</t>
  </si>
  <si>
    <t>UPI0391</t>
  </si>
  <si>
    <t>UPI0103</t>
  </si>
  <si>
    <t>UPI0458</t>
  </si>
  <si>
    <t>UPI0329</t>
  </si>
  <si>
    <t>UPI0159</t>
  </si>
  <si>
    <t>UPI0310</t>
  </si>
  <si>
    <t>May</t>
  </si>
  <si>
    <t>UPI0500</t>
  </si>
  <si>
    <t>UPI0432</t>
  </si>
  <si>
    <t>UPI0135</t>
  </si>
  <si>
    <t>UPI0340</t>
  </si>
  <si>
    <t>UPI0099</t>
  </si>
  <si>
    <t>UPI0237</t>
  </si>
  <si>
    <t>UPI0091</t>
  </si>
  <si>
    <t>UPI0096</t>
  </si>
  <si>
    <t>UPI0390</t>
  </si>
  <si>
    <t>UPI0075</t>
  </si>
  <si>
    <t>UPI0479</t>
  </si>
  <si>
    <t>UPI0025</t>
  </si>
  <si>
    <t>UPI0430</t>
  </si>
  <si>
    <t>UPI0264</t>
  </si>
  <si>
    <t>UPI0152</t>
  </si>
  <si>
    <t>UPI0086</t>
  </si>
  <si>
    <t>UPI0446</t>
  </si>
  <si>
    <t>UPI0203</t>
  </si>
  <si>
    <t>UPI0089</t>
  </si>
  <si>
    <t>UPI0496</t>
  </si>
  <si>
    <t>UPI0059</t>
  </si>
  <si>
    <t>UPI0019</t>
  </si>
  <si>
    <t>UPI0395</t>
  </si>
  <si>
    <t>UPI0407</t>
  </si>
  <si>
    <t>UPI0171</t>
  </si>
  <si>
    <t>UPI0492</t>
  </si>
  <si>
    <t>UPI0055</t>
  </si>
  <si>
    <t>UPI0272</t>
  </si>
  <si>
    <t>UPI0127</t>
  </si>
  <si>
    <t>UPI0443</t>
  </si>
  <si>
    <t>UPI0095</t>
  </si>
  <si>
    <t>UPI0477</t>
  </si>
  <si>
    <t>UPI0367</t>
  </si>
  <si>
    <t>UPI0444</t>
  </si>
  <si>
    <t>UPI0186</t>
  </si>
  <si>
    <t>UPI0253</t>
  </si>
  <si>
    <t>UPI0005</t>
  </si>
  <si>
    <t>UPI0098</t>
  </si>
  <si>
    <t>UPI0358</t>
  </si>
  <si>
    <t>UPI0133</t>
  </si>
  <si>
    <t>UPI0147</t>
  </si>
  <si>
    <t>UPI0115</t>
  </si>
  <si>
    <t>UPI0141</t>
  </si>
  <si>
    <t>UPI0474</t>
  </si>
  <si>
    <t>Jun</t>
  </si>
  <si>
    <t>UPI0150</t>
  </si>
  <si>
    <t>UPI0306</t>
  </si>
  <si>
    <t>UPI0324</t>
  </si>
  <si>
    <t>UPI0257</t>
  </si>
  <si>
    <t>UPI0426</t>
  </si>
  <si>
    <t>UPI0334</t>
  </si>
  <si>
    <t>UPI0148</t>
  </si>
  <si>
    <t>UPI0354</t>
  </si>
  <si>
    <t>UPI0160</t>
  </si>
  <si>
    <t>UPI0161</t>
  </si>
  <si>
    <t>UPI0101</t>
  </si>
  <si>
    <t>UPI0318</t>
  </si>
  <si>
    <t>UPI0341</t>
  </si>
  <si>
    <t>UPI0439</t>
  </si>
  <si>
    <t>UPI0024</t>
  </si>
  <si>
    <t>UPI0387</t>
  </si>
  <si>
    <t>UPI0179</t>
  </si>
  <si>
    <t>UPI0463</t>
  </si>
  <si>
    <t>UPI0140</t>
  </si>
  <si>
    <t>UPI0461</t>
  </si>
  <si>
    <t>UPI0283</t>
  </si>
  <si>
    <t>UPI0270</t>
  </si>
  <si>
    <t>UPI0342</t>
  </si>
  <si>
    <t>UPI0412</t>
  </si>
  <si>
    <t>UPI0300</t>
  </si>
  <si>
    <t>UPI0175</t>
  </si>
  <si>
    <t>UPI0410</t>
  </si>
  <si>
    <t>UPI0097</t>
  </si>
  <si>
    <t>UPI0195</t>
  </si>
  <si>
    <t>UPI0154</t>
  </si>
  <si>
    <t>UPI0168</t>
  </si>
  <si>
    <t>UPI0213</t>
  </si>
  <si>
    <t>UPI0375</t>
  </si>
  <si>
    <t>UPI0344</t>
  </si>
  <si>
    <t>UPI0027</t>
  </si>
  <si>
    <t>UPI0336</t>
  </si>
  <si>
    <t>UPI0499</t>
  </si>
  <si>
    <t>UPI0282</t>
  </si>
  <si>
    <t>UPI0214</t>
  </si>
  <si>
    <t>UPI0049</t>
  </si>
  <si>
    <t>UPI0082</t>
  </si>
  <si>
    <t>UPI0219</t>
  </si>
  <si>
    <t>UPI0201</t>
  </si>
  <si>
    <t>UPI0156</t>
  </si>
  <si>
    <t>UPI0189</t>
  </si>
  <si>
    <t>UPI0018</t>
  </si>
  <si>
    <t>UPI0484</t>
  </si>
  <si>
    <t>UPI0417</t>
  </si>
  <si>
    <t>UPI0134</t>
  </si>
  <si>
    <t>UPI0060</t>
  </si>
  <si>
    <t>UPI0332</t>
  </si>
  <si>
    <t>UPI0294</t>
  </si>
  <si>
    <t>UPI0491</t>
  </si>
  <si>
    <t>UPI0202</t>
  </si>
  <si>
    <t>UPI0429</t>
  </si>
  <si>
    <t>UPI0206</t>
  </si>
  <si>
    <t>UPI0183</t>
  </si>
  <si>
    <t>UPI0481</t>
  </si>
  <si>
    <t>UPI0238</t>
  </si>
  <si>
    <t>UPI0053</t>
  </si>
  <si>
    <t>Jul</t>
  </si>
  <si>
    <t>UPI0369</t>
  </si>
  <si>
    <t>UPI0480</t>
  </si>
  <si>
    <t>UPI0010</t>
  </si>
  <si>
    <t>UPI0182</t>
  </si>
  <si>
    <t>UPI0466</t>
  </si>
  <si>
    <t>UPI0476</t>
  </si>
  <si>
    <t>UPI0415</t>
  </si>
  <si>
    <t>UPI0382</t>
  </si>
  <si>
    <t>UPI0366</t>
  </si>
  <si>
    <t>UPI0217</t>
  </si>
  <si>
    <t>UPI0052</t>
  </si>
  <si>
    <t>UPI0062</t>
  </si>
  <si>
    <t>UPI0434</t>
  </si>
  <si>
    <t>UPI0414</t>
  </si>
  <si>
    <t>UPI0181</t>
  </si>
  <si>
    <t>UPI0398</t>
  </si>
  <si>
    <t>UPI0385</t>
  </si>
  <si>
    <t>UPI0456</t>
  </si>
  <si>
    <t>UPI0488</t>
  </si>
  <si>
    <t>UPI0381</t>
  </si>
  <si>
    <t>UPI0355</t>
  </si>
  <si>
    <t>UPI0035</t>
  </si>
  <si>
    <t>UPI0196</t>
  </si>
  <si>
    <t>UPI0145</t>
  </si>
  <si>
    <t>UPI0017</t>
  </si>
  <si>
    <t>UPI0176</t>
  </si>
  <si>
    <t>UPI0475</t>
  </si>
  <si>
    <t>UPI0149</t>
  </si>
  <si>
    <t>UPI0273</t>
  </si>
  <si>
    <t>UPI0279</t>
  </si>
  <si>
    <t>UPI0212</t>
  </si>
  <si>
    <t>UPI0236</t>
  </si>
  <si>
    <t>UPI0378</t>
  </si>
  <si>
    <t>UPI0280</t>
  </si>
  <si>
    <t>UPI0227</t>
  </si>
  <si>
    <t>UPI0353</t>
  </si>
  <si>
    <t>UPI0243</t>
  </si>
  <si>
    <t>UPI0451</t>
  </si>
  <si>
    <t>UPI0328</t>
  </si>
  <si>
    <t>UPI0065</t>
  </si>
  <si>
    <t>UPI0311</t>
  </si>
  <si>
    <t>UPI0268</t>
  </si>
  <si>
    <t>UPI0034</t>
  </si>
  <si>
    <t>UPI0114</t>
  </si>
  <si>
    <t>UPI0411</t>
  </si>
  <si>
    <t>UPI0178</t>
  </si>
  <si>
    <t>UPI0370</t>
  </si>
  <si>
    <t>UPI0298</t>
  </si>
  <si>
    <t>UPI0413</t>
  </si>
  <si>
    <t>Aug</t>
  </si>
  <si>
    <t>UPI0313</t>
  </si>
  <si>
    <t>UPI0269</t>
  </si>
  <si>
    <t>UPI0402</t>
  </si>
  <si>
    <t>UPI0449</t>
  </si>
  <si>
    <t>UPI0288</t>
  </si>
  <si>
    <t>UPI0232</t>
  </si>
  <si>
    <t>UPI0326</t>
  </si>
  <si>
    <t>UPI0457</t>
  </si>
  <si>
    <t>UPI0093</t>
  </si>
  <si>
    <t>UPI0321</t>
  </si>
  <si>
    <t>UPI0399</t>
  </si>
  <si>
    <t>UPI0424</t>
  </si>
  <si>
    <t>UPI0191</t>
  </si>
  <si>
    <t>UPI0406</t>
  </si>
  <si>
    <t>UPI0174</t>
  </si>
  <si>
    <t>UPI0419</t>
  </si>
  <si>
    <t>UPI0185</t>
  </si>
  <si>
    <t>UPI0245</t>
  </si>
  <si>
    <t>UPI0498</t>
  </si>
  <si>
    <t>UPI0066</t>
  </si>
  <si>
    <t>UPI0262</t>
  </si>
  <si>
    <t>UPI0094</t>
  </si>
  <si>
    <t>UPI0440</t>
  </si>
  <si>
    <t>UPI0248</t>
  </si>
  <si>
    <t>UPI0211</t>
  </si>
  <si>
    <t>UPI0205</t>
  </si>
  <si>
    <t>UPI0153</t>
  </si>
  <si>
    <t>UPI0108</t>
  </si>
  <si>
    <t>UPI0295</t>
  </si>
  <si>
    <t>UPI0142</t>
  </si>
  <si>
    <t>UPI0164</t>
  </si>
  <si>
    <t>UPI0221</t>
  </si>
  <si>
    <t>UPI0256</t>
  </si>
  <si>
    <t>UPI0252</t>
  </si>
  <si>
    <t>UPI0309</t>
  </si>
  <si>
    <t>UPI0172</t>
  </si>
  <si>
    <t>UPI0100</t>
  </si>
  <si>
    <t>UPI0004</t>
  </si>
  <si>
    <t>UPI0363</t>
  </si>
  <si>
    <t>UPI0162</t>
  </si>
  <si>
    <t>UPI0317</t>
  </si>
  <si>
    <t>UPI0158</t>
  </si>
  <si>
    <t>UPI0073</t>
  </si>
  <si>
    <t>UPI0014</t>
  </si>
  <si>
    <t>UPI0325</t>
  </si>
  <si>
    <t>UPI0208</t>
  </si>
  <si>
    <t>UPI0146</t>
  </si>
  <si>
    <t>UPI0464</t>
  </si>
  <si>
    <t>UPI0204</t>
  </si>
  <si>
    <t>UPI0030</t>
  </si>
  <si>
    <t>UPI0118</t>
  </si>
  <si>
    <t>UPI0259</t>
  </si>
  <si>
    <t>UPI0222</t>
  </si>
  <si>
    <t>UPI0139</t>
  </si>
  <si>
    <t>UPI0121</t>
  </si>
  <si>
    <t>UPI0131</t>
  </si>
  <si>
    <t>UPI0136</t>
  </si>
  <si>
    <t>UPI0284</t>
  </si>
  <si>
    <t>Sep</t>
  </si>
  <si>
    <t>UPI0209</t>
  </si>
  <si>
    <t>UPI0023</t>
  </si>
  <si>
    <t>UPI0080</t>
  </si>
  <si>
    <t>UPI0308</t>
  </si>
  <si>
    <t>UPI0260</t>
  </si>
  <si>
    <t>UPI0338</t>
  </si>
  <si>
    <t>UPI0401</t>
  </si>
  <si>
    <t>UPI0081</t>
  </si>
  <si>
    <t>UPI0487</t>
  </si>
  <si>
    <t>UPI0345</t>
  </si>
  <si>
    <t>UPI0163</t>
  </si>
  <si>
    <t>UPI0107</t>
  </si>
  <si>
    <t>UPI0255</t>
  </si>
  <si>
    <t>UPI0122</t>
  </si>
  <si>
    <t>UPI0377</t>
  </si>
  <si>
    <t>UPI0494</t>
  </si>
  <si>
    <t>UPI0416</t>
  </si>
  <si>
    <t>UPI0267</t>
  </si>
  <si>
    <t>UPI0472</t>
  </si>
  <si>
    <t>UPI0151</t>
  </si>
  <si>
    <t>UPI0244</t>
  </si>
  <si>
    <t>UPI0265</t>
  </si>
  <si>
    <t>UPI0223</t>
  </si>
  <si>
    <t>UPI0450</t>
  </si>
  <si>
    <t>UPI0459</t>
  </si>
  <si>
    <t>UPI0436</t>
  </si>
  <si>
    <t>UPI0063</t>
  </si>
  <si>
    <t>UPI0281</t>
  </si>
  <si>
    <t>UPI0445</t>
  </si>
  <si>
    <t>UPI0192</t>
  </si>
  <si>
    <t>UPI0249</t>
  </si>
  <si>
    <t>UPI0307</t>
  </si>
  <si>
    <t>UPI0271</t>
  </si>
  <si>
    <t>UPI0431</t>
  </si>
  <si>
    <t>UPI0423</t>
  </si>
  <si>
    <t>UPI0173</t>
  </si>
  <si>
    <t>UPI0111</t>
  </si>
  <si>
    <t>UPI0442</t>
  </si>
  <si>
    <t>UPI0352</t>
  </si>
  <si>
    <t>UPI0235</t>
  </si>
  <si>
    <t>UPI0314</t>
  </si>
  <si>
    <t>UPI0193</t>
  </si>
  <si>
    <t>UPI0138</t>
  </si>
  <si>
    <t>UPI0433</t>
  </si>
  <si>
    <t>UPI0144</t>
  </si>
  <si>
    <t>UPI0155</t>
  </si>
  <si>
    <t>UPI0350</t>
  </si>
  <si>
    <t>UPI0092</t>
  </si>
  <si>
    <t>UPI0083</t>
  </si>
  <si>
    <t>Oct</t>
  </si>
  <si>
    <t>UPI0106</t>
  </si>
  <si>
    <t>UPI0007</t>
  </si>
  <si>
    <t>UPI0233</t>
  </si>
  <si>
    <t>UPI0394</t>
  </si>
  <si>
    <t>UPI0437</t>
  </si>
  <si>
    <t>UPI0323</t>
  </si>
  <si>
    <t>UPI0077</t>
  </si>
  <si>
    <t>UPI0028</t>
  </si>
  <si>
    <t>UPI0169</t>
  </si>
  <si>
    <t>UPI0241</t>
  </si>
  <si>
    <t>UPI0315</t>
  </si>
  <si>
    <t>UPI0074</t>
  </si>
  <si>
    <t>UPI0299</t>
  </si>
  <si>
    <t>UPI0102</t>
  </si>
  <si>
    <t>UPI0124</t>
  </si>
  <si>
    <t>UPI0129</t>
  </si>
  <si>
    <t>UPI0064</t>
  </si>
  <si>
    <t>UPI0036</t>
  </si>
  <si>
    <t>UPI0368</t>
  </si>
  <si>
    <t>UPI0157</t>
  </si>
  <si>
    <t>UPI0335</t>
  </si>
  <si>
    <t>UPI0293</t>
  </si>
  <si>
    <t>UPI0296</t>
  </si>
  <si>
    <t>UPI0050</t>
  </si>
  <si>
    <t>UPI0254</t>
  </si>
  <si>
    <t>UPI0360</t>
  </si>
  <si>
    <t>UPI0110</t>
  </si>
  <si>
    <t>UPI0453</t>
  </si>
  <si>
    <t>UPI0490</t>
  </si>
  <si>
    <t>UPI0403</t>
  </si>
  <si>
    <t>UPI0303</t>
  </si>
  <si>
    <t>UPI0251</t>
  </si>
  <si>
    <t>UPI0022</t>
  </si>
  <si>
    <t>UPI0112</t>
  </si>
  <si>
    <t>UPI0287</t>
  </si>
  <si>
    <t>UPI0489</t>
  </si>
  <si>
    <t>UPI0198</t>
  </si>
  <si>
    <t>UPI0405</t>
  </si>
  <si>
    <t>UPI0070</t>
  </si>
  <si>
    <t>UPI0061</t>
  </si>
  <si>
    <t>UPI0319</t>
  </si>
  <si>
    <t>UPI0090</t>
  </si>
  <si>
    <t>UPI0040</t>
  </si>
  <si>
    <t>UPI0051</t>
  </si>
  <si>
    <t>UPI0015</t>
  </si>
  <si>
    <t>UPI0364</t>
  </si>
  <si>
    <t>UPI0462</t>
  </si>
  <si>
    <t>UPI0038</t>
  </si>
  <si>
    <t>Total Transaction Amount</t>
  </si>
  <si>
    <t>Total Transactions</t>
  </si>
  <si>
    <t>Successful Transactions</t>
  </si>
  <si>
    <t>Failed Transactions</t>
  </si>
  <si>
    <t>Pending Transactions</t>
  </si>
  <si>
    <t>Success Rate</t>
  </si>
  <si>
    <t>Transaction Status</t>
  </si>
  <si>
    <t>Count</t>
  </si>
  <si>
    <t>Row Labels</t>
  </si>
  <si>
    <t>Grand Total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</si>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</sst>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"/>
    <numFmt numFmtId="168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5" fillId="3" borderId="0" xfId="0" applyFont="1" applyFill="1"/>
    <xf numFmtId="168" fontId="5" fillId="3" borderId="0" xfId="0" applyNumberFormat="1" applyFont="1" applyFill="1"/>
    <xf numFmtId="0" fontId="6" fillId="3" borderId="0" xfId="0" applyFont="1" applyFill="1"/>
    <xf numFmtId="10" fontId="5" fillId="3" borderId="0" xfId="0" applyNumberFormat="1" applyFont="1" applyFill="1"/>
    <xf numFmtId="10" fontId="0" fillId="3" borderId="0" xfId="0" applyNumberForma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[UPI_Transaction_Analysis_Dashboard.xlsx]Sheet2!PivotTable1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UPI</a:t>
            </a:r>
            <a:r>
              <a:rPr lang="en-US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App_Wise Transaction Analysis</a:t>
            </a:r>
            <a:endParaRPr lang="en-US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437280735947613"/>
          <c:y val="0.15299422883712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BHIM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142</c:v>
                </c:pt>
                <c:pt idx="1">
                  <c:v>123</c:v>
                </c:pt>
                <c:pt idx="2">
                  <c:v>126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3-4D34-A175-264CBF24E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03935"/>
        <c:axId val="743194831"/>
      </c:barChart>
      <c:catAx>
        <c:axId val="54650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4831"/>
        <c:crosses val="autoZero"/>
        <c:auto val="1"/>
        <c:lblAlgn val="ctr"/>
        <c:lblOffset val="100"/>
        <c:noMultiLvlLbl val="0"/>
      </c:catAx>
      <c:valAx>
        <c:axId val="74319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0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[UPI_Transaction_Analysis_Dashboard.xlsx]Sheet2!PivotTable2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City-Wise</a:t>
            </a:r>
            <a:r>
              <a:rPr lang="en-US" sz="1400" b="1" baseline="0">
                <a:solidFill>
                  <a:sysClr val="windowText" lastClr="000000"/>
                </a:solidFill>
              </a:rPr>
              <a:t> UPI Transaction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8"/>
                <c:pt idx="0">
                  <c:v>Agra</c:v>
                </c:pt>
                <c:pt idx="1">
                  <c:v>Delhi</c:v>
                </c:pt>
                <c:pt idx="2">
                  <c:v>Gorakhpur</c:v>
                </c:pt>
                <c:pt idx="3">
                  <c:v>Kanpur</c:v>
                </c:pt>
                <c:pt idx="4">
                  <c:v>Lucknow</c:v>
                </c:pt>
                <c:pt idx="5">
                  <c:v>Noida</c:v>
                </c:pt>
                <c:pt idx="6">
                  <c:v>Prayagraj</c:v>
                </c:pt>
                <c:pt idx="7">
                  <c:v>Varanasi</c:v>
                </c:pt>
              </c:strCache>
            </c:strRef>
          </c:cat>
          <c:val>
            <c:numRef>
              <c:f>Sheet2!$B$20:$B$28</c:f>
              <c:numCache>
                <c:formatCode>General</c:formatCode>
                <c:ptCount val="8"/>
                <c:pt idx="0">
                  <c:v>63</c:v>
                </c:pt>
                <c:pt idx="1">
                  <c:v>61</c:v>
                </c:pt>
                <c:pt idx="2">
                  <c:v>57</c:v>
                </c:pt>
                <c:pt idx="3">
                  <c:v>57</c:v>
                </c:pt>
                <c:pt idx="4">
                  <c:v>61</c:v>
                </c:pt>
                <c:pt idx="5">
                  <c:v>65</c:v>
                </c:pt>
                <c:pt idx="6">
                  <c:v>68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9-4E5A-8760-0E88E1BFF0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952175"/>
        <c:axId val="743153551"/>
      </c:barChart>
      <c:catAx>
        <c:axId val="75495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53551"/>
        <c:crosses val="autoZero"/>
        <c:auto val="1"/>
        <c:lblAlgn val="ctr"/>
        <c:lblOffset val="100"/>
        <c:noMultiLvlLbl val="0"/>
      </c:catAx>
      <c:valAx>
        <c:axId val="7431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5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Transaction</a:t>
            </a:r>
            <a:r>
              <a:rPr lang="en-US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Status Aanalysis</a:t>
            </a:r>
            <a:endParaRPr lang="en-US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400277777777777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Summary_Sheet!$B$9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Summary_Sheet!$A$10:$A$12</c:f>
              <c:strCache>
                <c:ptCount val="3"/>
                <c:pt idx="0">
                  <c:v>Success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Summary_Sheet!$B$10:$B$12</c:f>
              <c:numCache>
                <c:formatCode>General</c:formatCode>
                <c:ptCount val="3"/>
                <c:pt idx="0">
                  <c:v>320</c:v>
                </c:pt>
                <c:pt idx="1">
                  <c:v>82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D-405A-8958-BF91771497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tx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[UPI_Transaction_Analysis_Dashboard.xlsx]Sheet2!PivotTable1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UPI</a:t>
            </a:r>
            <a:r>
              <a:rPr lang="en-US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App_Wise Transaction Analysis</a:t>
            </a:r>
            <a:endParaRPr lang="en-US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437280735947613"/>
          <c:y val="0.15299422883712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799789717871478"/>
          <c:y val="0.3341803544474457"/>
          <c:w val="0.56960901709793976"/>
          <c:h val="0.558116725139272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BHIM</c:v>
                </c:pt>
                <c:pt idx="1">
                  <c:v>Google Pay</c:v>
                </c:pt>
                <c:pt idx="2">
                  <c:v>Paytm</c:v>
                </c:pt>
                <c:pt idx="3">
                  <c:v>PhonePe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142</c:v>
                </c:pt>
                <c:pt idx="1">
                  <c:v>123</c:v>
                </c:pt>
                <c:pt idx="2">
                  <c:v>126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0-47CB-BC64-055779A72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6503935"/>
        <c:axId val="743194831"/>
      </c:barChart>
      <c:catAx>
        <c:axId val="54650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4831"/>
        <c:crosses val="autoZero"/>
        <c:auto val="0"/>
        <c:lblAlgn val="ctr"/>
        <c:lblOffset val="100"/>
        <c:noMultiLvlLbl val="0"/>
      </c:catAx>
      <c:valAx>
        <c:axId val="74319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03935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5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[UPI_Transaction_Analysis_Dashboard.xlsx]Sheet2!PivotTable2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City-Wise</a:t>
            </a:r>
            <a:r>
              <a:rPr lang="en-US" sz="1400" b="1" baseline="0">
                <a:solidFill>
                  <a:sysClr val="windowText" lastClr="000000"/>
                </a:solidFill>
              </a:rPr>
              <a:t> UPI Transaction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9973239470575478E-2"/>
          <c:y val="0.14330957048033555"/>
          <c:w val="0.91002676052942455"/>
          <c:h val="0.631869028320335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Sheet2!$B$19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97-4A21-A2EB-8C8B738567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97-4A21-A2EB-8C8B738567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97-4A21-A2EB-8C8B7385679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97-4A21-A2EB-8C8B7385679E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97-4A21-A2EB-8C8B7385679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97-4A21-A2EB-8C8B7385679E}"/>
              </c:ext>
            </c:extLst>
          </c:dPt>
          <c:dLbls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8"/>
                <c:pt idx="0">
                  <c:v>Agra</c:v>
                </c:pt>
                <c:pt idx="1">
                  <c:v>Delhi</c:v>
                </c:pt>
                <c:pt idx="2">
                  <c:v>Gorakhpur</c:v>
                </c:pt>
                <c:pt idx="3">
                  <c:v>Kanpur</c:v>
                </c:pt>
                <c:pt idx="4">
                  <c:v>Lucknow</c:v>
                </c:pt>
                <c:pt idx="5">
                  <c:v>Noida</c:v>
                </c:pt>
                <c:pt idx="6">
                  <c:v>Prayagraj</c:v>
                </c:pt>
                <c:pt idx="7">
                  <c:v>Varanasi</c:v>
                </c:pt>
              </c:strCache>
            </c:strRef>
          </c:cat>
          <c:val>
            <c:numRef>
              <c:f>Sheet2!$B$20:$B$28</c:f>
              <c:numCache>
                <c:formatCode>General</c:formatCode>
                <c:ptCount val="8"/>
                <c:pt idx="0">
                  <c:v>63</c:v>
                </c:pt>
                <c:pt idx="1">
                  <c:v>61</c:v>
                </c:pt>
                <c:pt idx="2">
                  <c:v>57</c:v>
                </c:pt>
                <c:pt idx="3">
                  <c:v>57</c:v>
                </c:pt>
                <c:pt idx="4">
                  <c:v>61</c:v>
                </c:pt>
                <c:pt idx="5">
                  <c:v>65</c:v>
                </c:pt>
                <c:pt idx="6">
                  <c:v>68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7-4A21-A2EB-8C8B73856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4952175"/>
        <c:axId val="743153551"/>
      </c:barChart>
      <c:catAx>
        <c:axId val="75495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53551"/>
        <c:crosses val="autoZero"/>
        <c:auto val="1"/>
        <c:lblAlgn val="ctr"/>
        <c:lblOffset val="100"/>
        <c:noMultiLvlLbl val="0"/>
      </c:catAx>
      <c:valAx>
        <c:axId val="7431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5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2</xdr:row>
      <xdr:rowOff>82550</xdr:rowOff>
    </xdr:from>
    <xdr:to>
      <xdr:col>10</xdr:col>
      <xdr:colOff>107950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A7F9B-9B73-A623-6732-BF4F5F9D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298450</xdr:colOff>
      <xdr:row>15</xdr:row>
      <xdr:rowOff>127000</xdr:rowOff>
    </xdr:from>
    <xdr:to>
      <xdr:col>9</xdr:col>
      <xdr:colOff>215900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320039-B6AE-0246-22D6-D35056134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93110</xdr:colOff>
      <xdr:row>13</xdr:row>
      <xdr:rowOff>12451</xdr:rowOff>
    </xdr:from>
    <xdr:to>
      <xdr:col>6</xdr:col>
      <xdr:colOff>124509</xdr:colOff>
      <xdr:row>42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F8698-F355-6111-FB83-5C524ABC0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101232</xdr:colOff>
      <xdr:row>13</xdr:row>
      <xdr:rowOff>62255</xdr:rowOff>
    </xdr:from>
    <xdr:to>
      <xdr:col>18</xdr:col>
      <xdr:colOff>174314</xdr:colOff>
      <xdr:row>43</xdr:row>
      <xdr:rowOff>24902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EC466F-7551-4DC1-B2DF-D64351ECC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146706</xdr:colOff>
      <xdr:row>13</xdr:row>
      <xdr:rowOff>24901</xdr:rowOff>
    </xdr:from>
    <xdr:to>
      <xdr:col>32</xdr:col>
      <xdr:colOff>286373</xdr:colOff>
      <xdr:row>43</xdr:row>
      <xdr:rowOff>24901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B23DB-5B15-4590-9277-E9EE5BC30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340507</xdr:colOff>
      <xdr:row>5</xdr:row>
      <xdr:rowOff>248478</xdr:rowOff>
    </xdr:from>
    <xdr:to>
      <xdr:col>7</xdr:col>
      <xdr:colOff>423333</xdr:colOff>
      <xdr:row>10</xdr:row>
      <xdr:rowOff>73623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985D99F-D71B-090D-657F-CEFC62205780}"/>
            </a:ext>
          </a:extLst>
        </xdr:cNvPr>
        <xdr:cNvSpPr/>
      </xdr:nvSpPr>
      <xdr:spPr>
        <a:xfrm>
          <a:off x="4012464" y="1555290"/>
          <a:ext cx="3119782" cy="1076739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TOTAL TRANSACTION AMOUNT                   </a:t>
          </a:r>
          <a:r>
            <a:rPr lang="en-IN" sz="2000" b="1">
              <a:solidFill>
                <a:schemeClr val="bg1"/>
              </a:solidFill>
            </a:rPr>
            <a:t>₹37,63,888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432536</xdr:colOff>
      <xdr:row>5</xdr:row>
      <xdr:rowOff>257682</xdr:rowOff>
    </xdr:from>
    <xdr:to>
      <xdr:col>12</xdr:col>
      <xdr:colOff>230072</xdr:colOff>
      <xdr:row>10</xdr:row>
      <xdr:rowOff>73624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CA8F30D-8DD1-4720-B009-DED1B8D4B40B}"/>
            </a:ext>
          </a:extLst>
        </xdr:cNvPr>
        <xdr:cNvSpPr/>
      </xdr:nvSpPr>
      <xdr:spPr>
        <a:xfrm>
          <a:off x="7141449" y="1564494"/>
          <a:ext cx="2834493" cy="1067536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TOTAL TRANSACTION                    </a:t>
          </a:r>
          <a:r>
            <a:rPr lang="en-IN" sz="2000" b="1">
              <a:solidFill>
                <a:schemeClr val="bg1"/>
              </a:solidFill>
            </a:rPr>
            <a:t>501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211667</xdr:colOff>
      <xdr:row>5</xdr:row>
      <xdr:rowOff>257681</xdr:rowOff>
    </xdr:from>
    <xdr:to>
      <xdr:col>16</xdr:col>
      <xdr:colOff>450942</xdr:colOff>
      <xdr:row>10</xdr:row>
      <xdr:rowOff>82826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E9F3BCD-1EEA-4FC4-B5DF-0F42D3DB0CAC}"/>
            </a:ext>
          </a:extLst>
        </xdr:cNvPr>
        <xdr:cNvSpPr/>
      </xdr:nvSpPr>
      <xdr:spPr>
        <a:xfrm>
          <a:off x="9957537" y="1564493"/>
          <a:ext cx="2668840" cy="1076739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SUCCESSFUL TRANSACTION                    </a:t>
          </a:r>
          <a:r>
            <a:rPr lang="en-IN" sz="2000" b="1">
              <a:solidFill>
                <a:schemeClr val="bg1"/>
              </a:solidFill>
            </a:rPr>
            <a:t>320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469350</xdr:colOff>
      <xdr:row>5</xdr:row>
      <xdr:rowOff>257682</xdr:rowOff>
    </xdr:from>
    <xdr:to>
      <xdr:col>20</xdr:col>
      <xdr:colOff>340507</xdr:colOff>
      <xdr:row>10</xdr:row>
      <xdr:rowOff>92030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FEDC01E-18C3-41E1-A396-C0D5553D59AB}"/>
            </a:ext>
          </a:extLst>
        </xdr:cNvPr>
        <xdr:cNvSpPr/>
      </xdr:nvSpPr>
      <xdr:spPr>
        <a:xfrm>
          <a:off x="12644785" y="1564494"/>
          <a:ext cx="2300722" cy="1085942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SUCCESS</a:t>
          </a:r>
          <a:r>
            <a:rPr lang="en-IN" sz="1800" b="1" baseline="0">
              <a:solidFill>
                <a:schemeClr val="bg1"/>
              </a:solidFill>
            </a:rPr>
            <a:t> RATE</a:t>
          </a:r>
          <a:r>
            <a:rPr lang="en-IN" sz="1800" b="1">
              <a:solidFill>
                <a:schemeClr val="bg1"/>
              </a:solidFill>
            </a:rPr>
            <a:t> </a:t>
          </a:r>
        </a:p>
        <a:p>
          <a:pPr algn="ctr"/>
          <a:r>
            <a:rPr lang="en-IN" sz="1800" b="1">
              <a:solidFill>
                <a:schemeClr val="bg1"/>
              </a:solidFill>
            </a:rPr>
            <a:t>63.87%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395725</xdr:colOff>
      <xdr:row>0</xdr:row>
      <xdr:rowOff>73624</xdr:rowOff>
    </xdr:from>
    <xdr:to>
      <xdr:col>17</xdr:col>
      <xdr:colOff>450942</xdr:colOff>
      <xdr:row>2</xdr:row>
      <xdr:rowOff>82827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0D94F2-ED60-33A1-5E3A-10023C1AD7F7}"/>
            </a:ext>
          </a:extLst>
        </xdr:cNvPr>
        <xdr:cNvSpPr txBox="1"/>
      </xdr:nvSpPr>
      <xdr:spPr>
        <a:xfrm>
          <a:off x="5282464" y="73624"/>
          <a:ext cx="7951304" cy="515362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UPI TRANSACTION ANALYSIS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esh Yadav" refreshedDate="46324.665291666664" createdVersion="8" refreshedVersion="8" minRefreshableVersion="3" recordCount="500" xr:uid="{C4A5593C-823D-4752-9628-0E1477763DD9}">
  <cacheSource type="worksheet">
    <worksheetSource ref="A1:I501" sheet="UPI_Data"/>
  </cacheSource>
  <cacheFields count="9">
    <cacheField name="Transaction_ID" numFmtId="0">
      <sharedItems/>
    </cacheField>
    <cacheField name="Date" numFmtId="165">
      <sharedItems containsSemiMixedTypes="0" containsNonDate="0" containsDate="1" containsString="0" minDate="2026-01-01T00:00:00" maxDate="2026-10-28T00:00:00"/>
    </cacheField>
    <cacheField name="Month" numFmtId="0">
      <sharedItems/>
    </cacheField>
    <cacheField name="UPI_App" numFmtId="0">
      <sharedItems count="4">
        <s v="Google Pay"/>
        <s v="BHIM"/>
        <s v="Paytm"/>
        <s v="PhonePe"/>
      </sharedItems>
    </cacheField>
    <cacheField name="Payment_Method" numFmtId="0">
      <sharedItems/>
    </cacheField>
    <cacheField name="City" numFmtId="0">
      <sharedItems count="8">
        <s v="Delhi"/>
        <s v="Noida"/>
        <s v="Varanasi"/>
        <s v="Kanpur"/>
        <s v="Prayagraj"/>
        <s v="Agra"/>
        <s v="Lucknow"/>
        <s v="Gorakhpur"/>
      </sharedItems>
    </cacheField>
    <cacheField name="Category" numFmtId="0">
      <sharedItems/>
    </cacheField>
    <cacheField name="Amount_INR" numFmtId="166">
      <sharedItems containsSemiMixedTypes="0" containsString="0" containsNumber="1" containsInteger="1" minValue="176" maxValue="14994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UPI0234"/>
    <d v="2026-01-01T00:00:00"/>
    <s v="Jan"/>
    <x v="0"/>
    <s v="UPI ID"/>
    <x v="0"/>
    <s v="Food"/>
    <n v="5830"/>
    <s v="Failed"/>
  </r>
  <r>
    <s v="UPI0493"/>
    <d v="2026-01-01T00:00:00"/>
    <s v="Jan"/>
    <x v="1"/>
    <s v="UPI ID"/>
    <x v="0"/>
    <s v="Education"/>
    <n v="6373"/>
    <s v="Success"/>
  </r>
  <r>
    <s v="UPI0393"/>
    <d v="2026-01-03T00:00:00"/>
    <s v="Jan"/>
    <x v="0"/>
    <s v="Mobile Number"/>
    <x v="1"/>
    <s v="Food"/>
    <n v="3569"/>
    <s v="Pending"/>
  </r>
  <r>
    <s v="UPI0230"/>
    <d v="2026-01-03T00:00:00"/>
    <s v="Jan"/>
    <x v="2"/>
    <s v="QR Code"/>
    <x v="0"/>
    <s v="Education"/>
    <n v="361"/>
    <s v="Success"/>
  </r>
  <r>
    <s v="UPI0194"/>
    <d v="2026-01-04T00:00:00"/>
    <s v="Jan"/>
    <x v="0"/>
    <s v="QR Code"/>
    <x v="2"/>
    <s v="Travel"/>
    <n v="4988"/>
    <s v="Success"/>
  </r>
  <r>
    <s v="UPI0026"/>
    <d v="2026-01-04T00:00:00"/>
    <s v="Jan"/>
    <x v="3"/>
    <s v="QR Code"/>
    <x v="1"/>
    <s v="Groceries"/>
    <n v="11647"/>
    <s v="Success"/>
  </r>
  <r>
    <s v="UPI0043"/>
    <d v="2026-01-05T00:00:00"/>
    <s v="Jan"/>
    <x v="3"/>
    <s v="UPI PIN"/>
    <x v="3"/>
    <s v="Travel"/>
    <n v="10227"/>
    <s v="Success"/>
  </r>
  <r>
    <s v="UPI0441"/>
    <d v="2026-01-07T00:00:00"/>
    <s v="Jan"/>
    <x v="3"/>
    <s v="QR Code"/>
    <x v="4"/>
    <s v="Healthcare"/>
    <n v="2298"/>
    <s v="Pending"/>
  </r>
  <r>
    <s v="UPI0447"/>
    <d v="2026-01-07T00:00:00"/>
    <s v="Jan"/>
    <x v="1"/>
    <s v="Mobile Number"/>
    <x v="5"/>
    <s v="Shopping"/>
    <n v="803"/>
    <s v="Success"/>
  </r>
  <r>
    <s v="UPI0170"/>
    <d v="2026-01-08T00:00:00"/>
    <s v="Jan"/>
    <x v="0"/>
    <s v="Mobile Number"/>
    <x v="6"/>
    <s v="Shopping"/>
    <n v="12993"/>
    <s v="Success"/>
  </r>
  <r>
    <s v="UPI0351"/>
    <d v="2026-01-09T00:00:00"/>
    <s v="Jan"/>
    <x v="1"/>
    <s v="QR Code"/>
    <x v="1"/>
    <s v="Food"/>
    <n v="13372"/>
    <s v="Failed"/>
  </r>
  <r>
    <s v="UPI0418"/>
    <d v="2026-01-09T00:00:00"/>
    <s v="Jan"/>
    <x v="0"/>
    <s v="UPI ID"/>
    <x v="4"/>
    <s v="Groceries"/>
    <n v="14101"/>
    <s v="Success"/>
  </r>
  <r>
    <s v="UPI0021"/>
    <d v="2026-01-10T00:00:00"/>
    <s v="Jan"/>
    <x v="2"/>
    <s v="QR Code"/>
    <x v="6"/>
    <s v="Bills"/>
    <n v="5997"/>
    <s v="Success"/>
  </r>
  <r>
    <s v="UPI0199"/>
    <d v="2026-01-11T00:00:00"/>
    <s v="Jan"/>
    <x v="1"/>
    <s v="Mobile Number"/>
    <x v="1"/>
    <s v="Education"/>
    <n v="2865"/>
    <s v="Success"/>
  </r>
  <r>
    <s v="UPI0483"/>
    <d v="2026-01-11T00:00:00"/>
    <s v="Jan"/>
    <x v="3"/>
    <s v="Mobile Number"/>
    <x v="3"/>
    <s v="Shopping"/>
    <n v="7881"/>
    <s v="Failed"/>
  </r>
  <r>
    <s v="UPI0275"/>
    <d v="2026-01-12T00:00:00"/>
    <s v="Jan"/>
    <x v="1"/>
    <s v="QR Code"/>
    <x v="3"/>
    <s v="Healthcare"/>
    <n v="6492"/>
    <s v="Success"/>
  </r>
  <r>
    <s v="UPI0455"/>
    <d v="2026-01-13T00:00:00"/>
    <s v="Jan"/>
    <x v="2"/>
    <s v="UPI PIN"/>
    <x v="7"/>
    <s v="Groceries"/>
    <n v="8922"/>
    <s v="Success"/>
  </r>
  <r>
    <s v="UPI0069"/>
    <d v="2026-01-13T00:00:00"/>
    <s v="Jan"/>
    <x v="1"/>
    <s v="UPI PIN"/>
    <x v="4"/>
    <s v="Education"/>
    <n v="4061"/>
    <s v="Success"/>
  </r>
  <r>
    <s v="UPI0285"/>
    <d v="2026-01-14T00:00:00"/>
    <s v="Jan"/>
    <x v="2"/>
    <s v="QR Code"/>
    <x v="6"/>
    <s v="Recharge"/>
    <n v="7825"/>
    <s v="Failed"/>
  </r>
  <r>
    <s v="UPI0128"/>
    <d v="2026-01-15T00:00:00"/>
    <s v="Jan"/>
    <x v="0"/>
    <s v="QR Code"/>
    <x v="2"/>
    <s v="Groceries"/>
    <n v="10025"/>
    <s v="Pending"/>
  </r>
  <r>
    <s v="UPI0266"/>
    <d v="2026-01-15T00:00:00"/>
    <s v="Jan"/>
    <x v="2"/>
    <s v="QR Code"/>
    <x v="5"/>
    <s v="Groceries"/>
    <n v="794"/>
    <s v="Success"/>
  </r>
  <r>
    <s v="UPI0392"/>
    <d v="2026-01-15T00:00:00"/>
    <s v="Jan"/>
    <x v="0"/>
    <s v="UPI ID"/>
    <x v="5"/>
    <s v="Education"/>
    <n v="10111"/>
    <s v="Pending"/>
  </r>
  <r>
    <s v="UPI0467"/>
    <d v="2026-01-16T00:00:00"/>
    <s v="Jan"/>
    <x v="1"/>
    <s v="QR Code"/>
    <x v="1"/>
    <s v="Recharge"/>
    <n v="14051"/>
    <s v="Success"/>
  </r>
  <r>
    <s v="UPI0250"/>
    <d v="2026-01-18T00:00:00"/>
    <s v="Jan"/>
    <x v="0"/>
    <s v="Mobile Number"/>
    <x v="7"/>
    <s v="Education"/>
    <n v="1151"/>
    <s v="Success"/>
  </r>
  <r>
    <s v="UPI0137"/>
    <d v="2026-01-19T00:00:00"/>
    <s v="Jan"/>
    <x v="2"/>
    <s v="UPI PIN"/>
    <x v="4"/>
    <s v="Food"/>
    <n v="8279"/>
    <s v="Success"/>
  </r>
  <r>
    <s v="UPI0229"/>
    <d v="2026-01-20T00:00:00"/>
    <s v="Jan"/>
    <x v="1"/>
    <s v="QR Code"/>
    <x v="4"/>
    <s v="Recharge"/>
    <n v="13644"/>
    <s v="Success"/>
  </r>
  <r>
    <s v="UPI0465"/>
    <d v="2026-01-21T00:00:00"/>
    <s v="Jan"/>
    <x v="2"/>
    <s v="QR Code"/>
    <x v="1"/>
    <s v="Bills"/>
    <n v="13745"/>
    <s v="Success"/>
  </r>
  <r>
    <s v="UPI0197"/>
    <d v="2026-01-22T00:00:00"/>
    <s v="Jan"/>
    <x v="1"/>
    <s v="UPI PIN"/>
    <x v="7"/>
    <s v="Education"/>
    <n v="357"/>
    <s v="Success"/>
  </r>
  <r>
    <s v="UPI0240"/>
    <d v="2026-01-23T00:00:00"/>
    <s v="Jan"/>
    <x v="3"/>
    <s v="Mobile Number"/>
    <x v="2"/>
    <s v="Education"/>
    <n v="14562"/>
    <s v="Success"/>
  </r>
  <r>
    <s v="UPI0389"/>
    <d v="2026-01-23T00:00:00"/>
    <s v="Jan"/>
    <x v="3"/>
    <s v="Mobile Number"/>
    <x v="1"/>
    <s v="Shopping"/>
    <n v="1935"/>
    <s v="Pending"/>
  </r>
  <r>
    <s v="UPI0278"/>
    <d v="2026-01-24T00:00:00"/>
    <s v="Jan"/>
    <x v="0"/>
    <s v="Mobile Number"/>
    <x v="2"/>
    <s v="Food"/>
    <n v="888"/>
    <s v="Success"/>
  </r>
  <r>
    <s v="UPI0016"/>
    <d v="2026-01-25T00:00:00"/>
    <s v="Jan"/>
    <x v="0"/>
    <s v="UPI ID"/>
    <x v="1"/>
    <s v="Education"/>
    <n v="2554"/>
    <s v="Success"/>
  </r>
  <r>
    <s v="UPI0242"/>
    <d v="2026-01-25T00:00:00"/>
    <s v="Jan"/>
    <x v="2"/>
    <s v="UPI PIN"/>
    <x v="7"/>
    <s v="Education"/>
    <n v="5488"/>
    <s v="Pending"/>
  </r>
  <r>
    <s v="UPI0276"/>
    <d v="2026-01-25T00:00:00"/>
    <s v="Jan"/>
    <x v="1"/>
    <s v="UPI ID"/>
    <x v="2"/>
    <s v="Groceries"/>
    <n v="4659"/>
    <s v="Success"/>
  </r>
  <r>
    <s v="UPI0297"/>
    <d v="2026-01-26T00:00:00"/>
    <s v="Jan"/>
    <x v="0"/>
    <s v="QR Code"/>
    <x v="6"/>
    <s v="Food"/>
    <n v="14880"/>
    <s v="Pending"/>
  </r>
  <r>
    <s v="UPI0033"/>
    <d v="2026-01-26T00:00:00"/>
    <s v="Jan"/>
    <x v="3"/>
    <s v="UPI PIN"/>
    <x v="3"/>
    <s v="Shopping"/>
    <n v="8906"/>
    <s v="Pending"/>
  </r>
  <r>
    <s v="UPI0337"/>
    <d v="2026-01-27T00:00:00"/>
    <s v="Jan"/>
    <x v="3"/>
    <s v="UPI PIN"/>
    <x v="3"/>
    <s v="Bills"/>
    <n v="6229"/>
    <s v="Success"/>
  </r>
  <r>
    <s v="UPI0048"/>
    <d v="2026-01-27T00:00:00"/>
    <s v="Jan"/>
    <x v="1"/>
    <s v="Mobile Number"/>
    <x v="6"/>
    <s v="Groceries"/>
    <n v="10442"/>
    <s v="Success"/>
  </r>
  <r>
    <s v="UPI0421"/>
    <d v="2026-01-27T00:00:00"/>
    <s v="Jan"/>
    <x v="2"/>
    <s v="QR Code"/>
    <x v="5"/>
    <s v="Food"/>
    <n v="10299"/>
    <s v="Success"/>
  </r>
  <r>
    <s v="UPI0224"/>
    <d v="2026-01-27T00:00:00"/>
    <s v="Jan"/>
    <x v="2"/>
    <s v="UPI PIN"/>
    <x v="1"/>
    <s v="Travel"/>
    <n v="7923"/>
    <s v="Pending"/>
  </r>
  <r>
    <s v="UPI0143"/>
    <d v="2026-01-29T00:00:00"/>
    <s v="Jan"/>
    <x v="2"/>
    <s v="UPI ID"/>
    <x v="0"/>
    <s v="Bills"/>
    <n v="5923"/>
    <s v="Success"/>
  </r>
  <r>
    <s v="UPI0207"/>
    <d v="2026-01-30T00:00:00"/>
    <s v="Jan"/>
    <x v="2"/>
    <s v="UPI PIN"/>
    <x v="1"/>
    <s v="Education"/>
    <n v="13676"/>
    <s v="Success"/>
  </r>
  <r>
    <s v="UPI0478"/>
    <d v="2026-01-30T00:00:00"/>
    <s v="Jan"/>
    <x v="2"/>
    <s v="QR Code"/>
    <x v="0"/>
    <s v="Food"/>
    <n v="8724"/>
    <s v="Success"/>
  </r>
  <r>
    <s v="UPI0349"/>
    <d v="2026-01-31T00:00:00"/>
    <s v="Jan"/>
    <x v="1"/>
    <s v="UPI ID"/>
    <x v="6"/>
    <s v="Groceries"/>
    <n v="10498"/>
    <s v="Failed"/>
  </r>
  <r>
    <s v="UPI0079"/>
    <d v="2026-02-01T00:00:00"/>
    <s v="Feb"/>
    <x v="1"/>
    <s v="UPI ID"/>
    <x v="6"/>
    <s v="Education"/>
    <n v="13696"/>
    <s v="Success"/>
  </r>
  <r>
    <s v="UPI0165"/>
    <d v="2026-02-01T00:00:00"/>
    <s v="Feb"/>
    <x v="0"/>
    <s v="UPI PIN"/>
    <x v="4"/>
    <s v="Food"/>
    <n v="4570"/>
    <s v="Success"/>
  </r>
  <r>
    <s v="UPI0331"/>
    <d v="2026-02-01T00:00:00"/>
    <s v="Feb"/>
    <x v="0"/>
    <s v="UPI ID"/>
    <x v="4"/>
    <s v="Groceries"/>
    <n v="9743"/>
    <s v="Failed"/>
  </r>
  <r>
    <s v="UPI0372"/>
    <d v="2026-02-02T00:00:00"/>
    <s v="Feb"/>
    <x v="2"/>
    <s v="UPI ID"/>
    <x v="2"/>
    <s v="Recharge"/>
    <n v="7171"/>
    <s v="Success"/>
  </r>
  <r>
    <s v="UPI0109"/>
    <d v="2026-02-03T00:00:00"/>
    <s v="Feb"/>
    <x v="3"/>
    <s v="UPI PIN"/>
    <x v="0"/>
    <s v="Shopping"/>
    <n v="8106"/>
    <s v="Success"/>
  </r>
  <r>
    <s v="UPI0470"/>
    <d v="2026-02-03T00:00:00"/>
    <s v="Feb"/>
    <x v="1"/>
    <s v="QR Code"/>
    <x v="1"/>
    <s v="Healthcare"/>
    <n v="14836"/>
    <s v="Success"/>
  </r>
  <r>
    <s v="UPI0435"/>
    <d v="2026-02-04T00:00:00"/>
    <s v="Feb"/>
    <x v="0"/>
    <s v="UPI PIN"/>
    <x v="6"/>
    <s v="Education"/>
    <n v="4345"/>
    <s v="Success"/>
  </r>
  <r>
    <s v="UPI0180"/>
    <d v="2026-02-04T00:00:00"/>
    <s v="Feb"/>
    <x v="3"/>
    <s v="UPI PIN"/>
    <x v="5"/>
    <s v="Food"/>
    <n v="13677"/>
    <s v="Success"/>
  </r>
  <r>
    <s v="UPI0348"/>
    <d v="2026-02-04T00:00:00"/>
    <s v="Feb"/>
    <x v="3"/>
    <s v="QR Code"/>
    <x v="4"/>
    <s v="Healthcare"/>
    <n v="2524"/>
    <s v="Pending"/>
  </r>
  <r>
    <s v="UPI0008"/>
    <d v="2026-02-05T00:00:00"/>
    <s v="Feb"/>
    <x v="0"/>
    <s v="Mobile Number"/>
    <x v="1"/>
    <s v="Bills"/>
    <n v="10884"/>
    <s v="Success"/>
  </r>
  <r>
    <s v="UPI0087"/>
    <d v="2026-02-05T00:00:00"/>
    <s v="Feb"/>
    <x v="3"/>
    <s v="QR Code"/>
    <x v="3"/>
    <s v="Groceries"/>
    <n v="709"/>
    <s v="Pending"/>
  </r>
  <r>
    <s v="UPI0058"/>
    <d v="2026-02-05T00:00:00"/>
    <s v="Feb"/>
    <x v="1"/>
    <s v="Mobile Number"/>
    <x v="6"/>
    <s v="Food"/>
    <n v="5803"/>
    <s v="Success"/>
  </r>
  <r>
    <s v="UPI0039"/>
    <d v="2026-02-05T00:00:00"/>
    <s v="Feb"/>
    <x v="0"/>
    <s v="UPI ID"/>
    <x v="1"/>
    <s v="Bills"/>
    <n v="1163"/>
    <s v="Failed"/>
  </r>
  <r>
    <s v="UPI0320"/>
    <d v="2026-02-05T00:00:00"/>
    <s v="Feb"/>
    <x v="2"/>
    <s v="UPI ID"/>
    <x v="0"/>
    <s v="Shopping"/>
    <n v="569"/>
    <s v="Success"/>
  </r>
  <r>
    <s v="UPI0132"/>
    <d v="2026-02-05T00:00:00"/>
    <s v="Feb"/>
    <x v="1"/>
    <s v="Mobile Number"/>
    <x v="2"/>
    <s v="Groceries"/>
    <n v="12709"/>
    <s v="Success"/>
  </r>
  <r>
    <s v="UPI0117"/>
    <d v="2026-02-06T00:00:00"/>
    <s v="Feb"/>
    <x v="2"/>
    <s v="Mobile Number"/>
    <x v="4"/>
    <s v="Food"/>
    <n v="2768"/>
    <s v="Success"/>
  </r>
  <r>
    <s v="UPI0261"/>
    <d v="2026-02-07T00:00:00"/>
    <s v="Feb"/>
    <x v="2"/>
    <s v="QR Code"/>
    <x v="0"/>
    <s v="Shopping"/>
    <n v="7682"/>
    <s v="Success"/>
  </r>
  <r>
    <s v="UPI0497"/>
    <d v="2026-02-08T00:00:00"/>
    <s v="Feb"/>
    <x v="3"/>
    <s v="Mobile Number"/>
    <x v="4"/>
    <s v="Groceries"/>
    <n v="14764"/>
    <s v="Failed"/>
  </r>
  <r>
    <s v="UPI0347"/>
    <d v="2026-02-08T00:00:00"/>
    <s v="Feb"/>
    <x v="3"/>
    <s v="UPI ID"/>
    <x v="0"/>
    <s v="Bills"/>
    <n v="844"/>
    <s v="Pending"/>
  </r>
  <r>
    <s v="UPI0076"/>
    <d v="2026-02-09T00:00:00"/>
    <s v="Feb"/>
    <x v="0"/>
    <s v="Mobile Number"/>
    <x v="7"/>
    <s v="Healthcare"/>
    <n v="4731"/>
    <s v="Pending"/>
  </r>
  <r>
    <s v="UPI0373"/>
    <d v="2026-02-09T00:00:00"/>
    <s v="Feb"/>
    <x v="0"/>
    <s v="UPI ID"/>
    <x v="3"/>
    <s v="Recharge"/>
    <n v="4173"/>
    <s v="Success"/>
  </r>
  <r>
    <s v="UPI0361"/>
    <d v="2026-02-10T00:00:00"/>
    <s v="Feb"/>
    <x v="2"/>
    <s v="UPI PIN"/>
    <x v="1"/>
    <s v="Education"/>
    <n v="12263"/>
    <s v="Failed"/>
  </r>
  <r>
    <s v="UPI0246"/>
    <d v="2026-02-10T00:00:00"/>
    <s v="Feb"/>
    <x v="2"/>
    <s v="Mobile Number"/>
    <x v="4"/>
    <s v="Education"/>
    <n v="10878"/>
    <s v="Success"/>
  </r>
  <r>
    <s v="UPI0438"/>
    <d v="2026-02-10T00:00:00"/>
    <s v="Feb"/>
    <x v="0"/>
    <s v="Mobile Number"/>
    <x v="5"/>
    <s v="Food"/>
    <n v="3379"/>
    <s v="Failed"/>
  </r>
  <r>
    <s v="UPI0119"/>
    <d v="2026-02-11T00:00:00"/>
    <s v="Feb"/>
    <x v="1"/>
    <s v="Mobile Number"/>
    <x v="2"/>
    <s v="Groceries"/>
    <n v="703"/>
    <s v="Failed"/>
  </r>
  <r>
    <s v="UPI0113"/>
    <d v="2026-02-11T00:00:00"/>
    <s v="Feb"/>
    <x v="0"/>
    <s v="UPI PIN"/>
    <x v="0"/>
    <s v="Groceries"/>
    <n v="3979"/>
    <s v="Success"/>
  </r>
  <r>
    <s v="UPI0322"/>
    <d v="2026-02-11T00:00:00"/>
    <s v="Feb"/>
    <x v="0"/>
    <s v="Mobile Number"/>
    <x v="1"/>
    <s v="Shopping"/>
    <n v="10892"/>
    <s v="Pending"/>
  </r>
  <r>
    <s v="UPI0225"/>
    <d v="2026-02-12T00:00:00"/>
    <s v="Feb"/>
    <x v="1"/>
    <s v="QR Code"/>
    <x v="5"/>
    <s v="Food"/>
    <n v="4519"/>
    <s v="Success"/>
  </r>
  <r>
    <s v="UPI0365"/>
    <d v="2026-02-12T00:00:00"/>
    <s v="Feb"/>
    <x v="1"/>
    <s v="QR Code"/>
    <x v="5"/>
    <s v="Healthcare"/>
    <n v="2576"/>
    <s v="Success"/>
  </r>
  <r>
    <s v="UPI0356"/>
    <d v="2026-02-12T00:00:00"/>
    <s v="Feb"/>
    <x v="1"/>
    <s v="Mobile Number"/>
    <x v="1"/>
    <s v="Groceries"/>
    <n v="13899"/>
    <s v="Success"/>
  </r>
  <r>
    <s v="UPI0210"/>
    <d v="2026-02-13T00:00:00"/>
    <s v="Feb"/>
    <x v="0"/>
    <s v="UPI PIN"/>
    <x v="3"/>
    <s v="Recharge"/>
    <n v="10636"/>
    <s v="Failed"/>
  </r>
  <r>
    <s v="UPI0452"/>
    <d v="2026-02-14T00:00:00"/>
    <s v="Feb"/>
    <x v="3"/>
    <s v="Mobile Number"/>
    <x v="3"/>
    <s v="Travel"/>
    <n v="7533"/>
    <s v="Failed"/>
  </r>
  <r>
    <s v="UPI0425"/>
    <d v="2026-02-15T00:00:00"/>
    <s v="Feb"/>
    <x v="3"/>
    <s v="UPI PIN"/>
    <x v="7"/>
    <s v="Healthcare"/>
    <n v="13254"/>
    <s v="Pending"/>
  </r>
  <r>
    <s v="UPI0188"/>
    <d v="2026-02-16T00:00:00"/>
    <s v="Feb"/>
    <x v="0"/>
    <s v="UPI ID"/>
    <x v="5"/>
    <s v="Recharge"/>
    <n v="8741"/>
    <s v="Pending"/>
  </r>
  <r>
    <s v="UPI0120"/>
    <d v="2026-02-16T00:00:00"/>
    <s v="Feb"/>
    <x v="3"/>
    <s v="Mobile Number"/>
    <x v="6"/>
    <s v="Shopping"/>
    <n v="11097"/>
    <s v="Success"/>
  </r>
  <r>
    <s v="UPI0068"/>
    <d v="2026-02-17T00:00:00"/>
    <s v="Feb"/>
    <x v="2"/>
    <s v="QR Code"/>
    <x v="3"/>
    <s v="Shopping"/>
    <n v="11073"/>
    <s v="Success"/>
  </r>
  <r>
    <s v="UPI0003"/>
    <d v="2026-02-17T00:00:00"/>
    <s v="Feb"/>
    <x v="3"/>
    <s v="QR Code"/>
    <x v="5"/>
    <s v="Bills"/>
    <n v="3861"/>
    <s v="Success"/>
  </r>
  <r>
    <s v="UPI0420"/>
    <d v="2026-02-17T00:00:00"/>
    <s v="Feb"/>
    <x v="2"/>
    <s v="UPI PIN"/>
    <x v="7"/>
    <s v="Shopping"/>
    <n v="5955"/>
    <s v="Pending"/>
  </r>
  <r>
    <s v="UPI0422"/>
    <d v="2026-02-18T00:00:00"/>
    <s v="Feb"/>
    <x v="1"/>
    <s v="UPI PIN"/>
    <x v="0"/>
    <s v="Bills"/>
    <n v="3546"/>
    <s v="Success"/>
  </r>
  <r>
    <s v="UPI0388"/>
    <d v="2026-02-19T00:00:00"/>
    <s v="Feb"/>
    <x v="1"/>
    <s v="Mobile Number"/>
    <x v="1"/>
    <s v="Travel"/>
    <n v="11879"/>
    <s v="Success"/>
  </r>
  <r>
    <s v="UPI0006"/>
    <d v="2026-02-19T00:00:00"/>
    <s v="Feb"/>
    <x v="2"/>
    <s v="Mobile Number"/>
    <x v="6"/>
    <s v="Recharge"/>
    <n v="13935"/>
    <s v="Success"/>
  </r>
  <r>
    <s v="UPI0009"/>
    <d v="2026-02-21T00:00:00"/>
    <s v="Feb"/>
    <x v="1"/>
    <s v="Mobile Number"/>
    <x v="0"/>
    <s v="Healthcare"/>
    <n v="4604"/>
    <s v="Success"/>
  </r>
  <r>
    <s v="UPI0327"/>
    <d v="2026-02-21T00:00:00"/>
    <s v="Feb"/>
    <x v="1"/>
    <s v="UPI PIN"/>
    <x v="3"/>
    <s v="Groceries"/>
    <n v="600"/>
    <s v="Failed"/>
  </r>
  <r>
    <s v="UPI0486"/>
    <d v="2026-02-21T00:00:00"/>
    <s v="Feb"/>
    <x v="2"/>
    <s v="QR Code"/>
    <x v="0"/>
    <s v="Education"/>
    <n v="4994"/>
    <s v="Success"/>
  </r>
  <r>
    <s v="UPI0002"/>
    <d v="2026-02-22T00:00:00"/>
    <s v="Feb"/>
    <x v="3"/>
    <s v="UPI ID"/>
    <x v="6"/>
    <s v="Groceries"/>
    <n v="12185"/>
    <s v="Pending"/>
  </r>
  <r>
    <s v="UPI0468"/>
    <d v="2026-02-22T00:00:00"/>
    <s v="Feb"/>
    <x v="3"/>
    <s v="UPI PIN"/>
    <x v="3"/>
    <s v="Shopping"/>
    <n v="2039"/>
    <s v="Success"/>
  </r>
  <r>
    <s v="UPI0386"/>
    <d v="2026-02-23T00:00:00"/>
    <s v="Feb"/>
    <x v="3"/>
    <s v="UPI PIN"/>
    <x v="0"/>
    <s v="Healthcare"/>
    <n v="6865"/>
    <s v="Success"/>
  </r>
  <r>
    <s v="UPI0123"/>
    <d v="2026-02-23T00:00:00"/>
    <s v="Feb"/>
    <x v="1"/>
    <s v="UPI ID"/>
    <x v="2"/>
    <s v="Education"/>
    <n v="5453"/>
    <s v="Success"/>
  </r>
  <r>
    <s v="UPI0200"/>
    <d v="2026-02-24T00:00:00"/>
    <s v="Feb"/>
    <x v="1"/>
    <s v="UPI PIN"/>
    <x v="5"/>
    <s v="Travel"/>
    <n v="7188"/>
    <s v="Success"/>
  </r>
  <r>
    <s v="UPI0374"/>
    <d v="2026-02-24T00:00:00"/>
    <s v="Feb"/>
    <x v="3"/>
    <s v="UPI ID"/>
    <x v="7"/>
    <s v="Education"/>
    <n v="5041"/>
    <s v="Success"/>
  </r>
  <r>
    <s v="UPI0384"/>
    <d v="2026-02-24T00:00:00"/>
    <s v="Feb"/>
    <x v="2"/>
    <s v="QR Code"/>
    <x v="3"/>
    <s v="Recharge"/>
    <n v="1665"/>
    <s v="Success"/>
  </r>
  <r>
    <s v="UPI0184"/>
    <d v="2026-02-25T00:00:00"/>
    <s v="Feb"/>
    <x v="2"/>
    <s v="UPI PIN"/>
    <x v="2"/>
    <s v="Bills"/>
    <n v="13900"/>
    <s v="Success"/>
  </r>
  <r>
    <s v="UPI0031"/>
    <d v="2026-02-25T00:00:00"/>
    <s v="Feb"/>
    <x v="0"/>
    <s v="UPI ID"/>
    <x v="0"/>
    <s v="Education"/>
    <n v="3189"/>
    <s v="Success"/>
  </r>
  <r>
    <s v="UPI0277"/>
    <d v="2026-02-25T00:00:00"/>
    <s v="Feb"/>
    <x v="2"/>
    <s v="Mobile Number"/>
    <x v="5"/>
    <s v="Healthcare"/>
    <n v="2244"/>
    <s v="Success"/>
  </r>
  <r>
    <s v="UPI0231"/>
    <d v="2026-02-26T00:00:00"/>
    <s v="Feb"/>
    <x v="2"/>
    <s v="UPI PIN"/>
    <x v="6"/>
    <s v="Bills"/>
    <n v="3943"/>
    <s v="Success"/>
  </r>
  <r>
    <s v="UPI0001"/>
    <d v="2026-02-27T00:00:00"/>
    <s v="Feb"/>
    <x v="2"/>
    <s v="QR Code"/>
    <x v="3"/>
    <s v="Shopping"/>
    <n v="12199"/>
    <s v="Success"/>
  </r>
  <r>
    <s v="UPI0177"/>
    <d v="2026-02-28T00:00:00"/>
    <s v="Feb"/>
    <x v="0"/>
    <s v="UPI ID"/>
    <x v="4"/>
    <s v="Bills"/>
    <n v="10714"/>
    <s v="Pending"/>
  </r>
  <r>
    <s v="UPI0396"/>
    <d v="2026-02-28T00:00:00"/>
    <s v="Feb"/>
    <x v="1"/>
    <s v="QR Code"/>
    <x v="2"/>
    <s v="Food"/>
    <n v="5816"/>
    <s v="Success"/>
  </r>
  <r>
    <s v="UPI0125"/>
    <d v="2026-03-01T00:00:00"/>
    <s v="Mar"/>
    <x v="3"/>
    <s v="UPI ID"/>
    <x v="5"/>
    <s v="Groceries"/>
    <n v="14220"/>
    <s v="Success"/>
  </r>
  <r>
    <s v="UPI0316"/>
    <d v="2026-03-01T00:00:00"/>
    <s v="Mar"/>
    <x v="1"/>
    <s v="UPI PIN"/>
    <x v="4"/>
    <s v="Groceries"/>
    <n v="3415"/>
    <s v="Pending"/>
  </r>
  <r>
    <s v="UPI0471"/>
    <d v="2026-03-04T00:00:00"/>
    <s v="Mar"/>
    <x v="3"/>
    <s v="QR Code"/>
    <x v="5"/>
    <s v="Education"/>
    <n v="7602"/>
    <s v="Success"/>
  </r>
  <r>
    <s v="UPI0167"/>
    <d v="2026-03-06T00:00:00"/>
    <s v="Mar"/>
    <x v="3"/>
    <s v="QR Code"/>
    <x v="3"/>
    <s v="Bills"/>
    <n v="3412"/>
    <s v="Failed"/>
  </r>
  <r>
    <s v="UPI0216"/>
    <d v="2026-03-07T00:00:00"/>
    <s v="Mar"/>
    <x v="3"/>
    <s v="UPI ID"/>
    <x v="7"/>
    <s v="Groceries"/>
    <n v="11565"/>
    <s v="Pending"/>
  </r>
  <r>
    <s v="UPI0215"/>
    <d v="2026-03-08T00:00:00"/>
    <s v="Mar"/>
    <x v="3"/>
    <s v="Mobile Number"/>
    <x v="5"/>
    <s v="Healthcare"/>
    <n v="11663"/>
    <s v="Failed"/>
  </r>
  <r>
    <s v="UPI0460"/>
    <d v="2026-03-08T00:00:00"/>
    <s v="Mar"/>
    <x v="2"/>
    <s v="Mobile Number"/>
    <x v="5"/>
    <s v="Healthcare"/>
    <n v="4828"/>
    <s v="Success"/>
  </r>
  <r>
    <s v="UPI0044"/>
    <d v="2026-03-09T00:00:00"/>
    <s v="Mar"/>
    <x v="3"/>
    <s v="QR Code"/>
    <x v="7"/>
    <s v="Travel"/>
    <n v="14482"/>
    <s v="Success"/>
  </r>
  <r>
    <s v="UPI0042"/>
    <d v="2026-03-09T00:00:00"/>
    <s v="Mar"/>
    <x v="2"/>
    <s v="UPI ID"/>
    <x v="7"/>
    <s v="Food"/>
    <n v="10625"/>
    <s v="Pending"/>
  </r>
  <r>
    <s v="UPI0046"/>
    <d v="2026-03-10T00:00:00"/>
    <s v="Mar"/>
    <x v="3"/>
    <s v="QR Code"/>
    <x v="2"/>
    <s v="Travel"/>
    <n v="1941"/>
    <s v="Success"/>
  </r>
  <r>
    <s v="UPI0397"/>
    <d v="2026-03-10T00:00:00"/>
    <s v="Mar"/>
    <x v="0"/>
    <s v="Mobile Number"/>
    <x v="1"/>
    <s v="Shopping"/>
    <n v="1981"/>
    <s v="Success"/>
  </r>
  <r>
    <s v="UPI0304"/>
    <d v="2026-03-10T00:00:00"/>
    <s v="Mar"/>
    <x v="2"/>
    <s v="QR Code"/>
    <x v="1"/>
    <s v="Healthcare"/>
    <n v="7718"/>
    <s v="Failed"/>
  </r>
  <r>
    <s v="UPI0239"/>
    <d v="2026-03-11T00:00:00"/>
    <s v="Mar"/>
    <x v="1"/>
    <s v="UPI PIN"/>
    <x v="2"/>
    <s v="Bills"/>
    <n v="11781"/>
    <s v="Success"/>
  </r>
  <r>
    <s v="UPI0084"/>
    <d v="2026-03-11T00:00:00"/>
    <s v="Mar"/>
    <x v="3"/>
    <s v="Mobile Number"/>
    <x v="5"/>
    <s v="Healthcare"/>
    <n v="3027"/>
    <s v="Success"/>
  </r>
  <r>
    <s v="UPI0289"/>
    <d v="2026-03-12T00:00:00"/>
    <s v="Mar"/>
    <x v="2"/>
    <s v="UPI ID"/>
    <x v="5"/>
    <s v="Healthcare"/>
    <n v="3447"/>
    <s v="Failed"/>
  </r>
  <r>
    <s v="UPI0380"/>
    <d v="2026-03-13T00:00:00"/>
    <s v="Mar"/>
    <x v="0"/>
    <s v="Mobile Number"/>
    <x v="0"/>
    <s v="Education"/>
    <n v="5011"/>
    <s v="Pending"/>
  </r>
  <r>
    <s v="UPI0400"/>
    <d v="2026-03-13T00:00:00"/>
    <s v="Mar"/>
    <x v="1"/>
    <s v="UPI PIN"/>
    <x v="7"/>
    <s v="Groceries"/>
    <n v="5204"/>
    <s v="Success"/>
  </r>
  <r>
    <s v="UPI0485"/>
    <d v="2026-03-14T00:00:00"/>
    <s v="Mar"/>
    <x v="2"/>
    <s v="UPI PIN"/>
    <x v="7"/>
    <s v="Education"/>
    <n v="13918"/>
    <s v="Success"/>
  </r>
  <r>
    <s v="UPI0330"/>
    <d v="2026-03-15T00:00:00"/>
    <s v="Mar"/>
    <x v="0"/>
    <s v="UPI ID"/>
    <x v="2"/>
    <s v="Travel"/>
    <n v="8590"/>
    <s v="Pending"/>
  </r>
  <r>
    <s v="UPI0343"/>
    <d v="2026-03-16T00:00:00"/>
    <s v="Mar"/>
    <x v="1"/>
    <s v="Mobile Number"/>
    <x v="0"/>
    <s v="Bills"/>
    <n v="4322"/>
    <s v="Success"/>
  </r>
  <r>
    <s v="UPI0071"/>
    <d v="2026-03-17T00:00:00"/>
    <s v="Mar"/>
    <x v="3"/>
    <s v="UPI PIN"/>
    <x v="5"/>
    <s v="Bills"/>
    <n v="11316"/>
    <s v="Pending"/>
  </r>
  <r>
    <s v="UPI0333"/>
    <d v="2026-03-18T00:00:00"/>
    <s v="Mar"/>
    <x v="0"/>
    <s v="UPI ID"/>
    <x v="3"/>
    <s v="Bills"/>
    <n v="6217"/>
    <s v="Success"/>
  </r>
  <r>
    <s v="UPI0020"/>
    <d v="2026-03-20T00:00:00"/>
    <s v="Mar"/>
    <x v="0"/>
    <s v="UPI PIN"/>
    <x v="7"/>
    <s v="Recharge"/>
    <n v="12542"/>
    <s v="Success"/>
  </r>
  <r>
    <s v="UPI0088"/>
    <d v="2026-03-20T00:00:00"/>
    <s v="Mar"/>
    <x v="1"/>
    <s v="UPI PIN"/>
    <x v="3"/>
    <s v="Recharge"/>
    <n v="2118"/>
    <s v="Success"/>
  </r>
  <r>
    <s v="UPI0130"/>
    <d v="2026-03-20T00:00:00"/>
    <s v="Mar"/>
    <x v="2"/>
    <s v="Mobile Number"/>
    <x v="5"/>
    <s v="Recharge"/>
    <n v="11790"/>
    <s v="Success"/>
  </r>
  <r>
    <s v="UPI0190"/>
    <d v="2026-03-21T00:00:00"/>
    <s v="Mar"/>
    <x v="3"/>
    <s v="UPI PIN"/>
    <x v="2"/>
    <s v="Recharge"/>
    <n v="12410"/>
    <s v="Success"/>
  </r>
  <r>
    <s v="UPI0045"/>
    <d v="2026-03-22T00:00:00"/>
    <s v="Mar"/>
    <x v="2"/>
    <s v="UPI PIN"/>
    <x v="2"/>
    <s v="Food"/>
    <n v="13710"/>
    <s v="Success"/>
  </r>
  <r>
    <s v="UPI0011"/>
    <d v="2026-03-25T00:00:00"/>
    <s v="Mar"/>
    <x v="2"/>
    <s v="QR Code"/>
    <x v="7"/>
    <s v="Groceries"/>
    <n v="6266"/>
    <s v="Success"/>
  </r>
  <r>
    <s v="UPI0495"/>
    <d v="2026-03-25T00:00:00"/>
    <s v="Mar"/>
    <x v="3"/>
    <s v="Mobile Number"/>
    <x v="6"/>
    <s v="Healthcare"/>
    <n v="1257"/>
    <s v="Success"/>
  </r>
  <r>
    <s v="UPI0305"/>
    <d v="2026-03-25T00:00:00"/>
    <s v="Mar"/>
    <x v="2"/>
    <s v="QR Code"/>
    <x v="6"/>
    <s v="Healthcare"/>
    <n v="7568"/>
    <s v="Pending"/>
  </r>
  <r>
    <s v="UPI0220"/>
    <d v="2026-03-26T00:00:00"/>
    <s v="Mar"/>
    <x v="3"/>
    <s v="UPI ID"/>
    <x v="7"/>
    <s v="Bills"/>
    <n v="7220"/>
    <s v="Pending"/>
  </r>
  <r>
    <s v="UPI0263"/>
    <d v="2026-03-26T00:00:00"/>
    <s v="Mar"/>
    <x v="0"/>
    <s v="Mobile Number"/>
    <x v="2"/>
    <s v="Food"/>
    <n v="5336"/>
    <s v="Success"/>
  </r>
  <r>
    <s v="UPI0427"/>
    <d v="2026-03-26T00:00:00"/>
    <s v="Mar"/>
    <x v="0"/>
    <s v="QR Code"/>
    <x v="5"/>
    <s v="Recharge"/>
    <n v="5803"/>
    <s v="Success"/>
  </r>
  <r>
    <s v="UPI0247"/>
    <d v="2026-03-27T00:00:00"/>
    <s v="Mar"/>
    <x v="2"/>
    <s v="UPI ID"/>
    <x v="6"/>
    <s v="Healthcare"/>
    <n v="7322"/>
    <s v="Pending"/>
  </r>
  <r>
    <s v="UPI0383"/>
    <d v="2026-03-27T00:00:00"/>
    <s v="Mar"/>
    <x v="3"/>
    <s v="UPI ID"/>
    <x v="7"/>
    <s v="Education"/>
    <n v="10088"/>
    <s v="Pending"/>
  </r>
  <r>
    <s v="UPI0371"/>
    <d v="2026-03-28T00:00:00"/>
    <s v="Mar"/>
    <x v="2"/>
    <s v="Mobile Number"/>
    <x v="4"/>
    <s v="Shopping"/>
    <n v="4455"/>
    <s v="Success"/>
  </r>
  <r>
    <s v="UPI0346"/>
    <d v="2026-03-28T00:00:00"/>
    <s v="Mar"/>
    <x v="1"/>
    <s v="QR Code"/>
    <x v="6"/>
    <s v="Groceries"/>
    <n v="11851"/>
    <s v="Success"/>
  </r>
  <r>
    <s v="UPI0286"/>
    <d v="2026-03-29T00:00:00"/>
    <s v="Mar"/>
    <x v="1"/>
    <s v="QR Code"/>
    <x v="3"/>
    <s v="Groceries"/>
    <n v="10355"/>
    <s v="Failed"/>
  </r>
  <r>
    <s v="UPI0290"/>
    <d v="2026-03-30T00:00:00"/>
    <s v="Mar"/>
    <x v="2"/>
    <s v="Mobile Number"/>
    <x v="2"/>
    <s v="Recharge"/>
    <n v="14994"/>
    <s v="Success"/>
  </r>
  <r>
    <s v="UPI0482"/>
    <d v="2026-03-31T00:00:00"/>
    <s v="Mar"/>
    <x v="3"/>
    <s v="UPI PIN"/>
    <x v="3"/>
    <s v="Bills"/>
    <n v="671"/>
    <s v="Success"/>
  </r>
  <r>
    <s v="UPI0301"/>
    <d v="2026-03-31T00:00:00"/>
    <s v="Mar"/>
    <x v="0"/>
    <s v="UPI PIN"/>
    <x v="5"/>
    <s v="Recharge"/>
    <n v="14504"/>
    <s v="Success"/>
  </r>
  <r>
    <s v="UPI0054"/>
    <d v="2026-04-01T00:00:00"/>
    <s v="Apr"/>
    <x v="0"/>
    <s v="Mobile Number"/>
    <x v="5"/>
    <s v="Bills"/>
    <n v="456"/>
    <s v="Success"/>
  </r>
  <r>
    <s v="UPI0072"/>
    <d v="2026-04-01T00:00:00"/>
    <s v="Apr"/>
    <x v="1"/>
    <s v="UPI PIN"/>
    <x v="3"/>
    <s v="Food"/>
    <n v="8536"/>
    <s v="Pending"/>
  </r>
  <r>
    <s v="UPI0448"/>
    <d v="2026-04-02T00:00:00"/>
    <s v="Apr"/>
    <x v="1"/>
    <s v="QR Code"/>
    <x v="7"/>
    <s v="Bills"/>
    <n v="9108"/>
    <s v="Success"/>
  </r>
  <r>
    <s v="UPI0187"/>
    <d v="2026-04-03T00:00:00"/>
    <s v="Apr"/>
    <x v="1"/>
    <s v="UPI PIN"/>
    <x v="0"/>
    <s v="Groceries"/>
    <n v="9328"/>
    <s v="Success"/>
  </r>
  <r>
    <s v="UPI0032"/>
    <d v="2026-04-04T00:00:00"/>
    <s v="Apr"/>
    <x v="0"/>
    <s v="UPI PIN"/>
    <x v="4"/>
    <s v="Food"/>
    <n v="7629"/>
    <s v="Success"/>
  </r>
  <r>
    <s v="UPI0302"/>
    <d v="2026-04-06T00:00:00"/>
    <s v="Apr"/>
    <x v="2"/>
    <s v="UPI PIN"/>
    <x v="6"/>
    <s v="Travel"/>
    <n v="14341"/>
    <s v="Pending"/>
  </r>
  <r>
    <s v="UPI0473"/>
    <d v="2026-04-06T00:00:00"/>
    <s v="Apr"/>
    <x v="1"/>
    <s v="QR Code"/>
    <x v="6"/>
    <s v="Bills"/>
    <n v="4635"/>
    <s v="Success"/>
  </r>
  <r>
    <s v="UPI0126"/>
    <d v="2026-04-07T00:00:00"/>
    <s v="Apr"/>
    <x v="1"/>
    <s v="UPI ID"/>
    <x v="6"/>
    <s v="Bills"/>
    <n v="5977"/>
    <s v="Failed"/>
  </r>
  <r>
    <s v="UPI0274"/>
    <d v="2026-04-08T00:00:00"/>
    <s v="Apr"/>
    <x v="1"/>
    <s v="UPI ID"/>
    <x v="2"/>
    <s v="Recharge"/>
    <n v="8213"/>
    <s v="Success"/>
  </r>
  <r>
    <s v="UPI0339"/>
    <d v="2026-04-08T00:00:00"/>
    <s v="Apr"/>
    <x v="1"/>
    <s v="QR Code"/>
    <x v="3"/>
    <s v="Education"/>
    <n v="1972"/>
    <s v="Pending"/>
  </r>
  <r>
    <s v="UPI0029"/>
    <d v="2026-04-08T00:00:00"/>
    <s v="Apr"/>
    <x v="1"/>
    <s v="Mobile Number"/>
    <x v="5"/>
    <s v="Education"/>
    <n v="1638"/>
    <s v="Success"/>
  </r>
  <r>
    <s v="UPI0291"/>
    <d v="2026-04-09T00:00:00"/>
    <s v="Apr"/>
    <x v="2"/>
    <s v="QR Code"/>
    <x v="2"/>
    <s v="Travel"/>
    <n v="4621"/>
    <s v="Success"/>
  </r>
  <r>
    <s v="UPI0104"/>
    <d v="2026-04-09T00:00:00"/>
    <s v="Apr"/>
    <x v="1"/>
    <s v="Mobile Number"/>
    <x v="2"/>
    <s v="Food"/>
    <n v="12151"/>
    <s v="Success"/>
  </r>
  <r>
    <s v="UPI0105"/>
    <d v="2026-04-10T00:00:00"/>
    <s v="Apr"/>
    <x v="2"/>
    <s v="QR Code"/>
    <x v="2"/>
    <s v="Groceries"/>
    <n v="3777"/>
    <s v="Success"/>
  </r>
  <r>
    <s v="UPI0454"/>
    <d v="2026-04-11T00:00:00"/>
    <s v="Apr"/>
    <x v="0"/>
    <s v="QR Code"/>
    <x v="6"/>
    <s v="Education"/>
    <n v="14802"/>
    <s v="Pending"/>
  </r>
  <r>
    <s v="UPI0469"/>
    <d v="2026-04-12T00:00:00"/>
    <s v="Apr"/>
    <x v="3"/>
    <s v="Mobile Number"/>
    <x v="1"/>
    <s v="Groceries"/>
    <n v="6148"/>
    <s v="Success"/>
  </r>
  <r>
    <s v="UPI0116"/>
    <d v="2026-04-12T00:00:00"/>
    <s v="Apr"/>
    <x v="0"/>
    <s v="QR Code"/>
    <x v="2"/>
    <s v="Shopping"/>
    <n v="1930"/>
    <s v="Success"/>
  </r>
  <r>
    <s v="UPI0376"/>
    <d v="2026-04-13T00:00:00"/>
    <s v="Apr"/>
    <x v="0"/>
    <s v="UPI ID"/>
    <x v="7"/>
    <s v="Travel"/>
    <n v="5197"/>
    <s v="Success"/>
  </r>
  <r>
    <s v="UPI0258"/>
    <d v="2026-04-13T00:00:00"/>
    <s v="Apr"/>
    <x v="1"/>
    <s v="UPI PIN"/>
    <x v="7"/>
    <s v="Healthcare"/>
    <n v="3928"/>
    <s v="Success"/>
  </r>
  <r>
    <s v="UPI0041"/>
    <d v="2026-04-15T00:00:00"/>
    <s v="Apr"/>
    <x v="2"/>
    <s v="QR Code"/>
    <x v="2"/>
    <s v="Education"/>
    <n v="11784"/>
    <s v="Pending"/>
  </r>
  <r>
    <s v="UPI0409"/>
    <d v="2026-04-16T00:00:00"/>
    <s v="Apr"/>
    <x v="3"/>
    <s v="Mobile Number"/>
    <x v="2"/>
    <s v="Shopping"/>
    <n v="13246"/>
    <s v="Success"/>
  </r>
  <r>
    <s v="UPI0359"/>
    <d v="2026-04-17T00:00:00"/>
    <s v="Apr"/>
    <x v="1"/>
    <s v="UPI PIN"/>
    <x v="2"/>
    <s v="Shopping"/>
    <n v="2412"/>
    <s v="Failed"/>
  </r>
  <r>
    <s v="UPI0292"/>
    <d v="2026-04-17T00:00:00"/>
    <s v="Apr"/>
    <x v="1"/>
    <s v="Mobile Number"/>
    <x v="4"/>
    <s v="Healthcare"/>
    <n v="11600"/>
    <s v="Pending"/>
  </r>
  <r>
    <s v="UPI0047"/>
    <d v="2026-04-18T00:00:00"/>
    <s v="Apr"/>
    <x v="0"/>
    <s v="Mobile Number"/>
    <x v="4"/>
    <s v="Travel"/>
    <n v="5667"/>
    <s v="Pending"/>
  </r>
  <r>
    <s v="UPI0379"/>
    <d v="2026-04-18T00:00:00"/>
    <s v="Apr"/>
    <x v="2"/>
    <s v="UPI PIN"/>
    <x v="5"/>
    <s v="Recharge"/>
    <n v="13119"/>
    <s v="Success"/>
  </r>
  <r>
    <s v="UPI0408"/>
    <d v="2026-04-18T00:00:00"/>
    <s v="Apr"/>
    <x v="2"/>
    <s v="UPI ID"/>
    <x v="0"/>
    <s v="Shopping"/>
    <n v="9682"/>
    <s v="Pending"/>
  </r>
  <r>
    <s v="UPI0085"/>
    <d v="2026-04-19T00:00:00"/>
    <s v="Apr"/>
    <x v="2"/>
    <s v="UPI ID"/>
    <x v="2"/>
    <s v="Education"/>
    <n v="5405"/>
    <s v="Success"/>
  </r>
  <r>
    <s v="UPI0166"/>
    <d v="2026-04-19T00:00:00"/>
    <s v="Apr"/>
    <x v="3"/>
    <s v="UPI PIN"/>
    <x v="7"/>
    <s v="Bills"/>
    <n v="10527"/>
    <s v="Pending"/>
  </r>
  <r>
    <s v="UPI0013"/>
    <d v="2026-04-19T00:00:00"/>
    <s v="Apr"/>
    <x v="2"/>
    <s v="QR Code"/>
    <x v="4"/>
    <s v="Education"/>
    <n v="14408"/>
    <s v="Failed"/>
  </r>
  <r>
    <s v="UPI0067"/>
    <d v="2026-04-20T00:00:00"/>
    <s v="Apr"/>
    <x v="0"/>
    <s v="UPI PIN"/>
    <x v="2"/>
    <s v="Healthcare"/>
    <n v="7802"/>
    <s v="Failed"/>
  </r>
  <r>
    <s v="UPI0078"/>
    <d v="2026-04-20T00:00:00"/>
    <s v="Apr"/>
    <x v="1"/>
    <s v="Mobile Number"/>
    <x v="4"/>
    <s v="Education"/>
    <n v="6847"/>
    <s v="Success"/>
  </r>
  <r>
    <s v="UPI0037"/>
    <d v="2026-04-22T00:00:00"/>
    <s v="Apr"/>
    <x v="3"/>
    <s v="Mobile Number"/>
    <x v="6"/>
    <s v="Groceries"/>
    <n v="9539"/>
    <s v="Success"/>
  </r>
  <r>
    <s v="UPI0428"/>
    <d v="2026-04-22T00:00:00"/>
    <s v="Apr"/>
    <x v="3"/>
    <s v="QR Code"/>
    <x v="1"/>
    <s v="Education"/>
    <n v="14739"/>
    <s v="Success"/>
  </r>
  <r>
    <s v="UPI0226"/>
    <d v="2026-04-24T00:00:00"/>
    <s v="Apr"/>
    <x v="2"/>
    <s v="UPI PIN"/>
    <x v="5"/>
    <s v="Groceries"/>
    <n v="14543"/>
    <s v="Success"/>
  </r>
  <r>
    <s v="UPI0056"/>
    <d v="2026-04-24T00:00:00"/>
    <s v="Apr"/>
    <x v="1"/>
    <s v="Mobile Number"/>
    <x v="2"/>
    <s v="Bills"/>
    <n v="13428"/>
    <s v="Success"/>
  </r>
  <r>
    <s v="UPI0312"/>
    <d v="2026-04-24T00:00:00"/>
    <s v="Apr"/>
    <x v="1"/>
    <s v="QR Code"/>
    <x v="4"/>
    <s v="Healthcare"/>
    <n v="2238"/>
    <s v="Success"/>
  </r>
  <r>
    <s v="UPI0057"/>
    <d v="2026-04-25T00:00:00"/>
    <s v="Apr"/>
    <x v="0"/>
    <s v="UPI ID"/>
    <x v="7"/>
    <s v="Travel"/>
    <n v="10863"/>
    <s v="Success"/>
  </r>
  <r>
    <s v="UPI0228"/>
    <d v="2026-04-25T00:00:00"/>
    <s v="Apr"/>
    <x v="3"/>
    <s v="Mobile Number"/>
    <x v="0"/>
    <s v="Shopping"/>
    <n v="5271"/>
    <s v="Success"/>
  </r>
  <r>
    <s v="UPI0218"/>
    <d v="2026-04-26T00:00:00"/>
    <s v="Apr"/>
    <x v="3"/>
    <s v="Mobile Number"/>
    <x v="1"/>
    <s v="Groceries"/>
    <n v="2588"/>
    <s v="Success"/>
  </r>
  <r>
    <s v="UPI0404"/>
    <d v="2026-04-26T00:00:00"/>
    <s v="Apr"/>
    <x v="0"/>
    <s v="UPI ID"/>
    <x v="4"/>
    <s v="Food"/>
    <n v="4779"/>
    <s v="Failed"/>
  </r>
  <r>
    <s v="UPI0012"/>
    <d v="2026-04-28T00:00:00"/>
    <s v="Apr"/>
    <x v="2"/>
    <s v="UPI ID"/>
    <x v="2"/>
    <s v="Food"/>
    <n v="13239"/>
    <s v="Success"/>
  </r>
  <r>
    <s v="UPI0357"/>
    <d v="2026-04-28T00:00:00"/>
    <s v="Apr"/>
    <x v="1"/>
    <s v="Mobile Number"/>
    <x v="6"/>
    <s v="Food"/>
    <n v="14816"/>
    <s v="Success"/>
  </r>
  <r>
    <s v="UPI0362"/>
    <d v="2026-04-29T00:00:00"/>
    <s v="Apr"/>
    <x v="1"/>
    <s v="Mobile Number"/>
    <x v="6"/>
    <s v="Travel"/>
    <n v="5630"/>
    <s v="Success"/>
  </r>
  <r>
    <s v="UPI0391"/>
    <d v="2026-04-29T00:00:00"/>
    <s v="Apr"/>
    <x v="0"/>
    <s v="QR Code"/>
    <x v="5"/>
    <s v="Education"/>
    <n v="10367"/>
    <s v="Success"/>
  </r>
  <r>
    <s v="UPI0103"/>
    <d v="2026-04-29T00:00:00"/>
    <s v="Apr"/>
    <x v="0"/>
    <s v="Mobile Number"/>
    <x v="1"/>
    <s v="Shopping"/>
    <n v="11867"/>
    <s v="Success"/>
  </r>
  <r>
    <s v="UPI0458"/>
    <d v="2026-04-29T00:00:00"/>
    <s v="Apr"/>
    <x v="2"/>
    <s v="UPI ID"/>
    <x v="1"/>
    <s v="Food"/>
    <n v="6817"/>
    <s v="Failed"/>
  </r>
  <r>
    <s v="UPI0329"/>
    <d v="2026-04-30T00:00:00"/>
    <s v="Apr"/>
    <x v="2"/>
    <s v="Mobile Number"/>
    <x v="3"/>
    <s v="Travel"/>
    <n v="9488"/>
    <s v="Pending"/>
  </r>
  <r>
    <s v="UPI0159"/>
    <d v="2026-04-30T00:00:00"/>
    <s v="Apr"/>
    <x v="2"/>
    <s v="QR Code"/>
    <x v="1"/>
    <s v="Recharge"/>
    <n v="460"/>
    <s v="Success"/>
  </r>
  <r>
    <s v="UPI0310"/>
    <d v="2026-05-01T00:00:00"/>
    <s v="May"/>
    <x v="3"/>
    <s v="UPI ID"/>
    <x v="2"/>
    <s v="Shopping"/>
    <n v="10991"/>
    <s v="Success"/>
  </r>
  <r>
    <s v="UPI0500"/>
    <d v="2026-05-02T00:00:00"/>
    <s v="May"/>
    <x v="1"/>
    <s v="UPI ID"/>
    <x v="0"/>
    <s v="Groceries"/>
    <n v="863"/>
    <s v="Success"/>
  </r>
  <r>
    <s v="UPI0432"/>
    <d v="2026-05-03T00:00:00"/>
    <s v="May"/>
    <x v="3"/>
    <s v="QR Code"/>
    <x v="4"/>
    <s v="Food"/>
    <n v="6372"/>
    <s v="Success"/>
  </r>
  <r>
    <s v="UPI0135"/>
    <d v="2026-05-03T00:00:00"/>
    <s v="May"/>
    <x v="0"/>
    <s v="UPI ID"/>
    <x v="6"/>
    <s v="Healthcare"/>
    <n v="6324"/>
    <s v="Failed"/>
  </r>
  <r>
    <s v="UPI0340"/>
    <d v="2026-05-03T00:00:00"/>
    <s v="May"/>
    <x v="2"/>
    <s v="UPI ID"/>
    <x v="4"/>
    <s v="Healthcare"/>
    <n v="5319"/>
    <s v="Failed"/>
  </r>
  <r>
    <s v="UPI0099"/>
    <d v="2026-05-04T00:00:00"/>
    <s v="May"/>
    <x v="1"/>
    <s v="QR Code"/>
    <x v="4"/>
    <s v="Recharge"/>
    <n v="6708"/>
    <s v="Pending"/>
  </r>
  <r>
    <s v="UPI0237"/>
    <d v="2026-05-04T00:00:00"/>
    <s v="May"/>
    <x v="3"/>
    <s v="Mobile Number"/>
    <x v="0"/>
    <s v="Groceries"/>
    <n v="10815"/>
    <s v="Pending"/>
  </r>
  <r>
    <s v="UPI0091"/>
    <d v="2026-05-05T00:00:00"/>
    <s v="May"/>
    <x v="2"/>
    <s v="UPI PIN"/>
    <x v="6"/>
    <s v="Healthcare"/>
    <n v="11472"/>
    <s v="Success"/>
  </r>
  <r>
    <s v="UPI0096"/>
    <d v="2026-05-05T00:00:00"/>
    <s v="May"/>
    <x v="1"/>
    <s v="Mobile Number"/>
    <x v="6"/>
    <s v="Recharge"/>
    <n v="9386"/>
    <s v="Success"/>
  </r>
  <r>
    <s v="UPI0390"/>
    <d v="2026-05-05T00:00:00"/>
    <s v="May"/>
    <x v="0"/>
    <s v="Mobile Number"/>
    <x v="5"/>
    <s v="Recharge"/>
    <n v="2908"/>
    <s v="Failed"/>
  </r>
  <r>
    <s v="UPI0075"/>
    <d v="2026-05-07T00:00:00"/>
    <s v="May"/>
    <x v="1"/>
    <s v="QR Code"/>
    <x v="2"/>
    <s v="Recharge"/>
    <n v="4593"/>
    <s v="Pending"/>
  </r>
  <r>
    <s v="UPI0479"/>
    <d v="2026-05-07T00:00:00"/>
    <s v="May"/>
    <x v="2"/>
    <s v="UPI PIN"/>
    <x v="3"/>
    <s v="Education"/>
    <n v="4001"/>
    <s v="Pending"/>
  </r>
  <r>
    <s v="UPI0025"/>
    <d v="2026-05-07T00:00:00"/>
    <s v="May"/>
    <x v="2"/>
    <s v="UPI PIN"/>
    <x v="3"/>
    <s v="Bills"/>
    <n v="1099"/>
    <s v="Success"/>
  </r>
  <r>
    <s v="UPI0430"/>
    <d v="2026-05-08T00:00:00"/>
    <s v="May"/>
    <x v="2"/>
    <s v="UPI PIN"/>
    <x v="2"/>
    <s v="Bills"/>
    <n v="9896"/>
    <s v="Failed"/>
  </r>
  <r>
    <s v="UPI0264"/>
    <d v="2026-05-09T00:00:00"/>
    <s v="May"/>
    <x v="2"/>
    <s v="QR Code"/>
    <x v="2"/>
    <s v="Food"/>
    <n v="10454"/>
    <s v="Success"/>
  </r>
  <r>
    <s v="UPI0152"/>
    <d v="2026-05-09T00:00:00"/>
    <s v="May"/>
    <x v="0"/>
    <s v="UPI PIN"/>
    <x v="6"/>
    <s v="Travel"/>
    <n v="12429"/>
    <s v="Pending"/>
  </r>
  <r>
    <s v="UPI0086"/>
    <d v="2026-05-10T00:00:00"/>
    <s v="May"/>
    <x v="3"/>
    <s v="UPI PIN"/>
    <x v="7"/>
    <s v="Bills"/>
    <n v="7755"/>
    <s v="Success"/>
  </r>
  <r>
    <s v="UPI0446"/>
    <d v="2026-05-11T00:00:00"/>
    <s v="May"/>
    <x v="3"/>
    <s v="QR Code"/>
    <x v="6"/>
    <s v="Groceries"/>
    <n v="14701"/>
    <s v="Success"/>
  </r>
  <r>
    <s v="UPI0203"/>
    <d v="2026-05-12T00:00:00"/>
    <s v="May"/>
    <x v="0"/>
    <s v="UPI PIN"/>
    <x v="0"/>
    <s v="Recharge"/>
    <n v="2892"/>
    <s v="Success"/>
  </r>
  <r>
    <s v="UPI0089"/>
    <d v="2026-05-12T00:00:00"/>
    <s v="May"/>
    <x v="3"/>
    <s v="QR Code"/>
    <x v="2"/>
    <s v="Food"/>
    <n v="2799"/>
    <s v="Success"/>
  </r>
  <r>
    <s v="UPI0496"/>
    <d v="2026-05-14T00:00:00"/>
    <s v="May"/>
    <x v="2"/>
    <s v="QR Code"/>
    <x v="5"/>
    <s v="Shopping"/>
    <n v="1265"/>
    <s v="Success"/>
  </r>
  <r>
    <s v="UPI0059"/>
    <d v="2026-05-14T00:00:00"/>
    <s v="May"/>
    <x v="2"/>
    <s v="UPI PIN"/>
    <x v="1"/>
    <s v="Education"/>
    <n v="9562"/>
    <s v="Success"/>
  </r>
  <r>
    <s v="UPI0019"/>
    <d v="2026-05-15T00:00:00"/>
    <s v="May"/>
    <x v="0"/>
    <s v="UPI PIN"/>
    <x v="2"/>
    <s v="Bills"/>
    <n v="12533"/>
    <s v="Failed"/>
  </r>
  <r>
    <s v="UPI0395"/>
    <d v="2026-05-15T00:00:00"/>
    <s v="May"/>
    <x v="1"/>
    <s v="Mobile Number"/>
    <x v="5"/>
    <s v="Education"/>
    <n v="14183"/>
    <s v="Pending"/>
  </r>
  <r>
    <s v="UPI0407"/>
    <d v="2026-05-15T00:00:00"/>
    <s v="May"/>
    <x v="3"/>
    <s v="UPI ID"/>
    <x v="1"/>
    <s v="Bills"/>
    <n v="14176"/>
    <s v="Success"/>
  </r>
  <r>
    <s v="UPI0171"/>
    <d v="2026-05-16T00:00:00"/>
    <s v="May"/>
    <x v="1"/>
    <s v="UPI PIN"/>
    <x v="1"/>
    <s v="Recharge"/>
    <n v="2126"/>
    <s v="Success"/>
  </r>
  <r>
    <s v="UPI0492"/>
    <d v="2026-05-16T00:00:00"/>
    <s v="May"/>
    <x v="3"/>
    <s v="Mobile Number"/>
    <x v="2"/>
    <s v="Food"/>
    <n v="4138"/>
    <s v="Success"/>
  </r>
  <r>
    <s v="UPI0055"/>
    <d v="2026-05-17T00:00:00"/>
    <s v="May"/>
    <x v="3"/>
    <s v="UPI ID"/>
    <x v="6"/>
    <s v="Recharge"/>
    <n v="12950"/>
    <s v="Success"/>
  </r>
  <r>
    <s v="UPI0272"/>
    <d v="2026-05-17T00:00:00"/>
    <s v="May"/>
    <x v="0"/>
    <s v="UPI PIN"/>
    <x v="6"/>
    <s v="Travel"/>
    <n v="4111"/>
    <s v="Success"/>
  </r>
  <r>
    <s v="UPI0127"/>
    <d v="2026-05-17T00:00:00"/>
    <s v="May"/>
    <x v="2"/>
    <s v="UPI ID"/>
    <x v="4"/>
    <s v="Food"/>
    <n v="2196"/>
    <s v="Failed"/>
  </r>
  <r>
    <s v="UPI0443"/>
    <d v="2026-05-18T00:00:00"/>
    <s v="May"/>
    <x v="3"/>
    <s v="UPI PIN"/>
    <x v="7"/>
    <s v="Education"/>
    <n v="14573"/>
    <s v="Pending"/>
  </r>
  <r>
    <s v="UPI0095"/>
    <d v="2026-05-18T00:00:00"/>
    <s v="May"/>
    <x v="0"/>
    <s v="UPI PIN"/>
    <x v="2"/>
    <s v="Recharge"/>
    <n v="14004"/>
    <s v="Success"/>
  </r>
  <r>
    <s v="UPI0477"/>
    <d v="2026-05-19T00:00:00"/>
    <s v="May"/>
    <x v="2"/>
    <s v="QR Code"/>
    <x v="6"/>
    <s v="Travel"/>
    <n v="477"/>
    <s v="Success"/>
  </r>
  <r>
    <s v="UPI0367"/>
    <d v="2026-05-19T00:00:00"/>
    <s v="May"/>
    <x v="3"/>
    <s v="QR Code"/>
    <x v="5"/>
    <s v="Recharge"/>
    <n v="2220"/>
    <s v="Success"/>
  </r>
  <r>
    <s v="UPI0444"/>
    <d v="2026-05-20T00:00:00"/>
    <s v="May"/>
    <x v="2"/>
    <s v="UPI PIN"/>
    <x v="4"/>
    <s v="Recharge"/>
    <n v="1096"/>
    <s v="Failed"/>
  </r>
  <r>
    <s v="UPI0186"/>
    <d v="2026-05-20T00:00:00"/>
    <s v="May"/>
    <x v="2"/>
    <s v="Mobile Number"/>
    <x v="7"/>
    <s v="Groceries"/>
    <n v="12541"/>
    <s v="Pending"/>
  </r>
  <r>
    <s v="UPI0253"/>
    <d v="2026-05-23T00:00:00"/>
    <s v="May"/>
    <x v="3"/>
    <s v="QR Code"/>
    <x v="4"/>
    <s v="Education"/>
    <n v="1908"/>
    <s v="Success"/>
  </r>
  <r>
    <s v="UPI0005"/>
    <d v="2026-05-23T00:00:00"/>
    <s v="May"/>
    <x v="2"/>
    <s v="UPI PIN"/>
    <x v="1"/>
    <s v="Education"/>
    <n v="3577"/>
    <s v="Success"/>
  </r>
  <r>
    <s v="UPI0098"/>
    <d v="2026-05-24T00:00:00"/>
    <s v="May"/>
    <x v="2"/>
    <s v="UPI PIN"/>
    <x v="3"/>
    <s v="Food"/>
    <n v="11538"/>
    <s v="Failed"/>
  </r>
  <r>
    <s v="UPI0358"/>
    <d v="2026-05-24T00:00:00"/>
    <s v="May"/>
    <x v="3"/>
    <s v="QR Code"/>
    <x v="7"/>
    <s v="Groceries"/>
    <n v="9282"/>
    <s v="Failed"/>
  </r>
  <r>
    <s v="UPI0133"/>
    <d v="2026-05-25T00:00:00"/>
    <s v="May"/>
    <x v="1"/>
    <s v="QR Code"/>
    <x v="4"/>
    <s v="Recharge"/>
    <n v="4941"/>
    <s v="Pending"/>
  </r>
  <r>
    <s v="UPI0147"/>
    <d v="2026-05-28T00:00:00"/>
    <s v="May"/>
    <x v="0"/>
    <s v="UPI PIN"/>
    <x v="4"/>
    <s v="Healthcare"/>
    <n v="9005"/>
    <s v="Pending"/>
  </r>
  <r>
    <s v="UPI0115"/>
    <d v="2026-05-28T00:00:00"/>
    <s v="May"/>
    <x v="1"/>
    <s v="UPI PIN"/>
    <x v="3"/>
    <s v="Travel"/>
    <n v="4682"/>
    <s v="Pending"/>
  </r>
  <r>
    <s v="UPI0141"/>
    <d v="2026-05-28T00:00:00"/>
    <s v="May"/>
    <x v="3"/>
    <s v="UPI ID"/>
    <x v="1"/>
    <s v="Food"/>
    <n v="12285"/>
    <s v="Success"/>
  </r>
  <r>
    <s v="UPI0474"/>
    <d v="2026-06-01T00:00:00"/>
    <s v="Jun"/>
    <x v="1"/>
    <s v="UPI PIN"/>
    <x v="1"/>
    <s v="Travel"/>
    <n v="6800"/>
    <s v="Success"/>
  </r>
  <r>
    <s v="UPI0150"/>
    <d v="2026-06-01T00:00:00"/>
    <s v="Jun"/>
    <x v="1"/>
    <s v="Mobile Number"/>
    <x v="6"/>
    <s v="Groceries"/>
    <n v="13649"/>
    <s v="Success"/>
  </r>
  <r>
    <s v="UPI0306"/>
    <d v="2026-06-01T00:00:00"/>
    <s v="Jun"/>
    <x v="0"/>
    <s v="QR Code"/>
    <x v="5"/>
    <s v="Education"/>
    <n v="11099"/>
    <s v="Failed"/>
  </r>
  <r>
    <s v="UPI0324"/>
    <d v="2026-06-02T00:00:00"/>
    <s v="Jun"/>
    <x v="1"/>
    <s v="UPI ID"/>
    <x v="3"/>
    <s v="Bills"/>
    <n v="11084"/>
    <s v="Success"/>
  </r>
  <r>
    <s v="UPI0257"/>
    <d v="2026-06-03T00:00:00"/>
    <s v="Jun"/>
    <x v="0"/>
    <s v="Mobile Number"/>
    <x v="3"/>
    <s v="Food"/>
    <n v="11712"/>
    <s v="Success"/>
  </r>
  <r>
    <s v="UPI0426"/>
    <d v="2026-06-03T00:00:00"/>
    <s v="Jun"/>
    <x v="0"/>
    <s v="QR Code"/>
    <x v="1"/>
    <s v="Groceries"/>
    <n v="6320"/>
    <s v="Success"/>
  </r>
  <r>
    <s v="UPI0334"/>
    <d v="2026-06-03T00:00:00"/>
    <s v="Jun"/>
    <x v="1"/>
    <s v="UPI PIN"/>
    <x v="5"/>
    <s v="Education"/>
    <n v="2415"/>
    <s v="Pending"/>
  </r>
  <r>
    <s v="UPI0148"/>
    <d v="2026-06-03T00:00:00"/>
    <s v="Jun"/>
    <x v="2"/>
    <s v="UPI ID"/>
    <x v="2"/>
    <s v="Bills"/>
    <n v="7001"/>
    <s v="Pending"/>
  </r>
  <r>
    <s v="UPI0354"/>
    <d v="2026-06-03T00:00:00"/>
    <s v="Jun"/>
    <x v="3"/>
    <s v="UPI PIN"/>
    <x v="1"/>
    <s v="Education"/>
    <n v="13616"/>
    <s v="Pending"/>
  </r>
  <r>
    <s v="UPI0160"/>
    <d v="2026-06-04T00:00:00"/>
    <s v="Jun"/>
    <x v="3"/>
    <s v="QR Code"/>
    <x v="6"/>
    <s v="Groceries"/>
    <n v="6739"/>
    <s v="Pending"/>
  </r>
  <r>
    <s v="UPI0161"/>
    <d v="2026-06-05T00:00:00"/>
    <s v="Jun"/>
    <x v="3"/>
    <s v="QR Code"/>
    <x v="0"/>
    <s v="Education"/>
    <n v="1952"/>
    <s v="Success"/>
  </r>
  <r>
    <s v="UPI0101"/>
    <d v="2026-06-06T00:00:00"/>
    <s v="Jun"/>
    <x v="2"/>
    <s v="UPI ID"/>
    <x v="7"/>
    <s v="Education"/>
    <n v="9578"/>
    <s v="Pending"/>
  </r>
  <r>
    <s v="UPI0318"/>
    <d v="2026-06-07T00:00:00"/>
    <s v="Jun"/>
    <x v="1"/>
    <s v="Mobile Number"/>
    <x v="6"/>
    <s v="Bills"/>
    <n v="406"/>
    <s v="Pending"/>
  </r>
  <r>
    <s v="UPI0341"/>
    <d v="2026-06-07T00:00:00"/>
    <s v="Jun"/>
    <x v="1"/>
    <s v="UPI ID"/>
    <x v="1"/>
    <s v="Recharge"/>
    <n v="5942"/>
    <s v="Success"/>
  </r>
  <r>
    <s v="UPI0439"/>
    <d v="2026-06-08T00:00:00"/>
    <s v="Jun"/>
    <x v="0"/>
    <s v="UPI PIN"/>
    <x v="3"/>
    <s v="Food"/>
    <n v="7217"/>
    <s v="Pending"/>
  </r>
  <r>
    <s v="UPI0024"/>
    <d v="2026-06-09T00:00:00"/>
    <s v="Jun"/>
    <x v="2"/>
    <s v="UPI ID"/>
    <x v="4"/>
    <s v="Food"/>
    <n v="11054"/>
    <s v="Success"/>
  </r>
  <r>
    <s v="UPI0387"/>
    <d v="2026-06-09T00:00:00"/>
    <s v="Jun"/>
    <x v="0"/>
    <s v="UPI ID"/>
    <x v="7"/>
    <s v="Recharge"/>
    <n v="7510"/>
    <s v="Success"/>
  </r>
  <r>
    <s v="UPI0179"/>
    <d v="2026-06-10T00:00:00"/>
    <s v="Jun"/>
    <x v="2"/>
    <s v="Mobile Number"/>
    <x v="0"/>
    <s v="Recharge"/>
    <n v="5170"/>
    <s v="Success"/>
  </r>
  <r>
    <s v="UPI0463"/>
    <d v="2026-06-10T00:00:00"/>
    <s v="Jun"/>
    <x v="2"/>
    <s v="QR Code"/>
    <x v="4"/>
    <s v="Travel"/>
    <n v="2028"/>
    <s v="Success"/>
  </r>
  <r>
    <s v="UPI0140"/>
    <d v="2026-06-12T00:00:00"/>
    <s v="Jun"/>
    <x v="1"/>
    <s v="UPI PIN"/>
    <x v="1"/>
    <s v="Bills"/>
    <n v="11825"/>
    <s v="Pending"/>
  </r>
  <r>
    <s v="UPI0461"/>
    <d v="2026-06-12T00:00:00"/>
    <s v="Jun"/>
    <x v="0"/>
    <s v="UPI PIN"/>
    <x v="3"/>
    <s v="Shopping"/>
    <n v="4505"/>
    <s v="Success"/>
  </r>
  <r>
    <s v="UPI0283"/>
    <d v="2026-06-13T00:00:00"/>
    <s v="Jun"/>
    <x v="2"/>
    <s v="Mobile Number"/>
    <x v="4"/>
    <s v="Travel"/>
    <n v="6488"/>
    <s v="Success"/>
  </r>
  <r>
    <s v="UPI0270"/>
    <d v="2026-06-13T00:00:00"/>
    <s v="Jun"/>
    <x v="2"/>
    <s v="UPI ID"/>
    <x v="0"/>
    <s v="Healthcare"/>
    <n v="14152"/>
    <s v="Pending"/>
  </r>
  <r>
    <s v="UPI0342"/>
    <d v="2026-06-13T00:00:00"/>
    <s v="Jun"/>
    <x v="2"/>
    <s v="UPI ID"/>
    <x v="6"/>
    <s v="Bills"/>
    <n v="6123"/>
    <s v="Success"/>
  </r>
  <r>
    <s v="UPI0412"/>
    <d v="2026-06-14T00:00:00"/>
    <s v="Jun"/>
    <x v="1"/>
    <s v="UPI ID"/>
    <x v="0"/>
    <s v="Travel"/>
    <n v="12525"/>
    <s v="Success"/>
  </r>
  <r>
    <s v="UPI0300"/>
    <d v="2026-06-14T00:00:00"/>
    <s v="Jun"/>
    <x v="3"/>
    <s v="UPI PIN"/>
    <x v="3"/>
    <s v="Groceries"/>
    <n v="10632"/>
    <s v="Success"/>
  </r>
  <r>
    <s v="UPI0175"/>
    <d v="2026-06-14T00:00:00"/>
    <s v="Jun"/>
    <x v="3"/>
    <s v="QR Code"/>
    <x v="2"/>
    <s v="Healthcare"/>
    <n v="2480"/>
    <s v="Failed"/>
  </r>
  <r>
    <s v="UPI0410"/>
    <d v="2026-06-15T00:00:00"/>
    <s v="Jun"/>
    <x v="2"/>
    <s v="Mobile Number"/>
    <x v="1"/>
    <s v="Shopping"/>
    <n v="4844"/>
    <s v="Pending"/>
  </r>
  <r>
    <s v="UPI0097"/>
    <d v="2026-06-16T00:00:00"/>
    <s v="Jun"/>
    <x v="0"/>
    <s v="Mobile Number"/>
    <x v="2"/>
    <s v="Healthcare"/>
    <n v="8038"/>
    <s v="Success"/>
  </r>
  <r>
    <s v="UPI0195"/>
    <d v="2026-06-17T00:00:00"/>
    <s v="Jun"/>
    <x v="1"/>
    <s v="UPI ID"/>
    <x v="0"/>
    <s v="Shopping"/>
    <n v="176"/>
    <s v="Success"/>
  </r>
  <r>
    <s v="UPI0154"/>
    <d v="2026-06-17T00:00:00"/>
    <s v="Jun"/>
    <x v="0"/>
    <s v="QR Code"/>
    <x v="0"/>
    <s v="Healthcare"/>
    <n v="6857"/>
    <s v="Pending"/>
  </r>
  <r>
    <s v="UPI0168"/>
    <d v="2026-06-18T00:00:00"/>
    <s v="Jun"/>
    <x v="3"/>
    <s v="Mobile Number"/>
    <x v="0"/>
    <s v="Shopping"/>
    <n v="12971"/>
    <s v="Success"/>
  </r>
  <r>
    <s v="UPI0213"/>
    <d v="2026-06-18T00:00:00"/>
    <s v="Jun"/>
    <x v="1"/>
    <s v="Mobile Number"/>
    <x v="2"/>
    <s v="Shopping"/>
    <n v="9191"/>
    <s v="Success"/>
  </r>
  <r>
    <s v="UPI0375"/>
    <d v="2026-06-18T00:00:00"/>
    <s v="Jun"/>
    <x v="1"/>
    <s v="QR Code"/>
    <x v="2"/>
    <s v="Healthcare"/>
    <n v="5534"/>
    <s v="Success"/>
  </r>
  <r>
    <s v="UPI0344"/>
    <d v="2026-06-18T00:00:00"/>
    <s v="Jun"/>
    <x v="0"/>
    <s v="UPI ID"/>
    <x v="7"/>
    <s v="Travel"/>
    <n v="6273"/>
    <s v="Success"/>
  </r>
  <r>
    <s v="UPI0027"/>
    <d v="2026-06-19T00:00:00"/>
    <s v="Jun"/>
    <x v="0"/>
    <s v="Mobile Number"/>
    <x v="4"/>
    <s v="Bills"/>
    <n v="8473"/>
    <s v="Success"/>
  </r>
  <r>
    <s v="UPI0336"/>
    <d v="2026-06-19T00:00:00"/>
    <s v="Jun"/>
    <x v="1"/>
    <s v="Mobile Number"/>
    <x v="1"/>
    <s v="Bills"/>
    <n v="1345"/>
    <s v="Pending"/>
  </r>
  <r>
    <s v="UPI0499"/>
    <d v="2026-06-19T00:00:00"/>
    <s v="Jun"/>
    <x v="1"/>
    <s v="Mobile Number"/>
    <x v="2"/>
    <s v="Travel"/>
    <n v="3162"/>
    <s v="Success"/>
  </r>
  <r>
    <s v="UPI0282"/>
    <d v="2026-06-20T00:00:00"/>
    <s v="Jun"/>
    <x v="1"/>
    <s v="QR Code"/>
    <x v="0"/>
    <s v="Healthcare"/>
    <n v="8558"/>
    <s v="Success"/>
  </r>
  <r>
    <s v="UPI0214"/>
    <d v="2026-06-20T00:00:00"/>
    <s v="Jun"/>
    <x v="0"/>
    <s v="Mobile Number"/>
    <x v="2"/>
    <s v="Education"/>
    <n v="9597"/>
    <s v="Success"/>
  </r>
  <r>
    <s v="UPI0049"/>
    <d v="2026-06-20T00:00:00"/>
    <s v="Jun"/>
    <x v="2"/>
    <s v="QR Code"/>
    <x v="4"/>
    <s v="Education"/>
    <n v="10488"/>
    <s v="Success"/>
  </r>
  <r>
    <s v="UPI0082"/>
    <d v="2026-06-22T00:00:00"/>
    <s v="Jun"/>
    <x v="1"/>
    <s v="QR Code"/>
    <x v="4"/>
    <s v="Shopping"/>
    <n v="11177"/>
    <s v="Pending"/>
  </r>
  <r>
    <s v="UPI0219"/>
    <d v="2026-06-22T00:00:00"/>
    <s v="Jun"/>
    <x v="1"/>
    <s v="QR Code"/>
    <x v="0"/>
    <s v="Shopping"/>
    <n v="2197"/>
    <s v="Failed"/>
  </r>
  <r>
    <s v="UPI0201"/>
    <d v="2026-06-23T00:00:00"/>
    <s v="Jun"/>
    <x v="0"/>
    <s v="UPI PIN"/>
    <x v="1"/>
    <s v="Bills"/>
    <n v="5506"/>
    <s v="Success"/>
  </r>
  <r>
    <s v="UPI0156"/>
    <d v="2026-06-23T00:00:00"/>
    <s v="Jun"/>
    <x v="3"/>
    <s v="QR Code"/>
    <x v="3"/>
    <s v="Education"/>
    <n v="7723"/>
    <s v="Success"/>
  </r>
  <r>
    <s v="UPI0189"/>
    <d v="2026-06-24T00:00:00"/>
    <s v="Jun"/>
    <x v="2"/>
    <s v="Mobile Number"/>
    <x v="1"/>
    <s v="Groceries"/>
    <n v="6112"/>
    <s v="Success"/>
  </r>
  <r>
    <s v="UPI0018"/>
    <d v="2026-06-24T00:00:00"/>
    <s v="Jun"/>
    <x v="1"/>
    <s v="QR Code"/>
    <x v="4"/>
    <s v="Groceries"/>
    <n v="4858"/>
    <s v="Success"/>
  </r>
  <r>
    <s v="UPI0484"/>
    <d v="2026-06-24T00:00:00"/>
    <s v="Jun"/>
    <x v="2"/>
    <s v="UPI PIN"/>
    <x v="6"/>
    <s v="Shopping"/>
    <n v="2957"/>
    <s v="Pending"/>
  </r>
  <r>
    <s v="UPI0417"/>
    <d v="2026-06-25T00:00:00"/>
    <s v="Jun"/>
    <x v="3"/>
    <s v="UPI PIN"/>
    <x v="1"/>
    <s v="Recharge"/>
    <n v="12538"/>
    <s v="Pending"/>
  </r>
  <r>
    <s v="UPI0134"/>
    <d v="2026-06-26T00:00:00"/>
    <s v="Jun"/>
    <x v="1"/>
    <s v="UPI ID"/>
    <x v="7"/>
    <s v="Bills"/>
    <n v="9092"/>
    <s v="Success"/>
  </r>
  <r>
    <s v="UPI0060"/>
    <d v="2026-06-26T00:00:00"/>
    <s v="Jun"/>
    <x v="2"/>
    <s v="UPI ID"/>
    <x v="1"/>
    <s v="Education"/>
    <n v="12934"/>
    <s v="Pending"/>
  </r>
  <r>
    <s v="UPI0332"/>
    <d v="2026-06-26T00:00:00"/>
    <s v="Jun"/>
    <x v="1"/>
    <s v="Mobile Number"/>
    <x v="5"/>
    <s v="Education"/>
    <n v="11049"/>
    <s v="Pending"/>
  </r>
  <r>
    <s v="UPI0294"/>
    <d v="2026-06-26T00:00:00"/>
    <s v="Jun"/>
    <x v="3"/>
    <s v="Mobile Number"/>
    <x v="1"/>
    <s v="Healthcare"/>
    <n v="4808"/>
    <s v="Success"/>
  </r>
  <r>
    <s v="UPI0491"/>
    <d v="2026-06-27T00:00:00"/>
    <s v="Jun"/>
    <x v="3"/>
    <s v="Mobile Number"/>
    <x v="4"/>
    <s v="Groceries"/>
    <n v="2800"/>
    <s v="Success"/>
  </r>
  <r>
    <s v="UPI0202"/>
    <d v="2026-06-28T00:00:00"/>
    <s v="Jun"/>
    <x v="0"/>
    <s v="QR Code"/>
    <x v="1"/>
    <s v="Shopping"/>
    <n v="11967"/>
    <s v="Success"/>
  </r>
  <r>
    <s v="UPI0429"/>
    <d v="2026-06-29T00:00:00"/>
    <s v="Jun"/>
    <x v="0"/>
    <s v="QR Code"/>
    <x v="2"/>
    <s v="Food"/>
    <n v="5202"/>
    <s v="Success"/>
  </r>
  <r>
    <s v="UPI0206"/>
    <d v="2026-06-30T00:00:00"/>
    <s v="Jun"/>
    <x v="2"/>
    <s v="UPI ID"/>
    <x v="4"/>
    <s v="Groceries"/>
    <n v="1265"/>
    <s v="Failed"/>
  </r>
  <r>
    <s v="UPI0183"/>
    <d v="2026-06-30T00:00:00"/>
    <s v="Jun"/>
    <x v="0"/>
    <s v="QR Code"/>
    <x v="4"/>
    <s v="Bills"/>
    <n v="9518"/>
    <s v="Success"/>
  </r>
  <r>
    <s v="UPI0481"/>
    <d v="2026-06-30T00:00:00"/>
    <s v="Jun"/>
    <x v="0"/>
    <s v="QR Code"/>
    <x v="4"/>
    <s v="Travel"/>
    <n v="9284"/>
    <s v="Failed"/>
  </r>
  <r>
    <s v="UPI0238"/>
    <d v="2026-06-30T00:00:00"/>
    <s v="Jun"/>
    <x v="0"/>
    <s v="UPI ID"/>
    <x v="4"/>
    <s v="Shopping"/>
    <n v="5596"/>
    <s v="Failed"/>
  </r>
  <r>
    <s v="UPI0053"/>
    <d v="2026-07-01T00:00:00"/>
    <s v="Jul"/>
    <x v="1"/>
    <s v="QR Code"/>
    <x v="3"/>
    <s v="Shopping"/>
    <n v="14535"/>
    <s v="Failed"/>
  </r>
  <r>
    <s v="UPI0369"/>
    <d v="2026-07-01T00:00:00"/>
    <s v="Jul"/>
    <x v="2"/>
    <s v="UPI ID"/>
    <x v="6"/>
    <s v="Travel"/>
    <n v="1574"/>
    <s v="Failed"/>
  </r>
  <r>
    <s v="UPI0480"/>
    <d v="2026-07-01T00:00:00"/>
    <s v="Jul"/>
    <x v="0"/>
    <s v="Mobile Number"/>
    <x v="7"/>
    <s v="Groceries"/>
    <n v="2935"/>
    <s v="Success"/>
  </r>
  <r>
    <s v="UPI0010"/>
    <d v="2026-07-01T00:00:00"/>
    <s v="Jul"/>
    <x v="2"/>
    <s v="UPI PIN"/>
    <x v="0"/>
    <s v="Bills"/>
    <n v="11030"/>
    <s v="Success"/>
  </r>
  <r>
    <s v="UPI0182"/>
    <d v="2026-07-01T00:00:00"/>
    <s v="Jul"/>
    <x v="1"/>
    <s v="UPI PIN"/>
    <x v="2"/>
    <s v="Travel"/>
    <n v="12342"/>
    <s v="Pending"/>
  </r>
  <r>
    <s v="UPI0466"/>
    <d v="2026-07-02T00:00:00"/>
    <s v="Jul"/>
    <x v="3"/>
    <s v="Mobile Number"/>
    <x v="2"/>
    <s v="Shopping"/>
    <n v="8462"/>
    <s v="Success"/>
  </r>
  <r>
    <s v="UPI0476"/>
    <d v="2026-07-03T00:00:00"/>
    <s v="Jul"/>
    <x v="1"/>
    <s v="Mobile Number"/>
    <x v="7"/>
    <s v="Education"/>
    <n v="8971"/>
    <s v="Success"/>
  </r>
  <r>
    <s v="UPI0415"/>
    <d v="2026-07-03T00:00:00"/>
    <s v="Jul"/>
    <x v="1"/>
    <s v="QR Code"/>
    <x v="5"/>
    <s v="Bills"/>
    <n v="13086"/>
    <s v="Success"/>
  </r>
  <r>
    <s v="UPI0382"/>
    <d v="2026-07-04T00:00:00"/>
    <s v="Jul"/>
    <x v="3"/>
    <s v="UPI PIN"/>
    <x v="3"/>
    <s v="Healthcare"/>
    <n v="14721"/>
    <s v="Pending"/>
  </r>
  <r>
    <s v="UPI0366"/>
    <d v="2026-07-04T00:00:00"/>
    <s v="Jul"/>
    <x v="3"/>
    <s v="Mobile Number"/>
    <x v="4"/>
    <s v="Healthcare"/>
    <n v="1549"/>
    <s v="Success"/>
  </r>
  <r>
    <s v="UPI0217"/>
    <d v="2026-07-05T00:00:00"/>
    <s v="Jul"/>
    <x v="0"/>
    <s v="Mobile Number"/>
    <x v="4"/>
    <s v="Bills"/>
    <n v="3003"/>
    <s v="Success"/>
  </r>
  <r>
    <s v="UPI0052"/>
    <d v="2026-07-06T00:00:00"/>
    <s v="Jul"/>
    <x v="2"/>
    <s v="QR Code"/>
    <x v="3"/>
    <s v="Food"/>
    <n v="14777"/>
    <s v="Success"/>
  </r>
  <r>
    <s v="UPI0062"/>
    <d v="2026-07-06T00:00:00"/>
    <s v="Jul"/>
    <x v="2"/>
    <s v="Mobile Number"/>
    <x v="1"/>
    <s v="Travel"/>
    <n v="1196"/>
    <s v="Success"/>
  </r>
  <r>
    <s v="UPI0434"/>
    <d v="2026-07-07T00:00:00"/>
    <s v="Jul"/>
    <x v="0"/>
    <s v="UPI ID"/>
    <x v="1"/>
    <s v="Groceries"/>
    <n v="11239"/>
    <s v="Failed"/>
  </r>
  <r>
    <s v="UPI0414"/>
    <d v="2026-07-08T00:00:00"/>
    <s v="Jul"/>
    <x v="2"/>
    <s v="UPI PIN"/>
    <x v="1"/>
    <s v="Recharge"/>
    <n v="8046"/>
    <s v="Success"/>
  </r>
  <r>
    <s v="UPI0181"/>
    <d v="2026-07-10T00:00:00"/>
    <s v="Jul"/>
    <x v="3"/>
    <s v="Mobile Number"/>
    <x v="1"/>
    <s v="Education"/>
    <n v="9165"/>
    <s v="Success"/>
  </r>
  <r>
    <s v="UPI0398"/>
    <d v="2026-07-11T00:00:00"/>
    <s v="Jul"/>
    <x v="1"/>
    <s v="UPI ID"/>
    <x v="0"/>
    <s v="Education"/>
    <n v="2366"/>
    <s v="Pending"/>
  </r>
  <r>
    <s v="UPI0385"/>
    <d v="2026-07-11T00:00:00"/>
    <s v="Jul"/>
    <x v="0"/>
    <s v="Mobile Number"/>
    <x v="6"/>
    <s v="Recharge"/>
    <n v="7636"/>
    <s v="Success"/>
  </r>
  <r>
    <s v="UPI0456"/>
    <d v="2026-07-12T00:00:00"/>
    <s v="Jul"/>
    <x v="2"/>
    <s v="UPI PIN"/>
    <x v="3"/>
    <s v="Bills"/>
    <n v="11964"/>
    <s v="Pending"/>
  </r>
  <r>
    <s v="UPI0488"/>
    <d v="2026-07-13T00:00:00"/>
    <s v="Jul"/>
    <x v="2"/>
    <s v="QR Code"/>
    <x v="0"/>
    <s v="Groceries"/>
    <n v="12075"/>
    <s v="Success"/>
  </r>
  <r>
    <s v="UPI0381"/>
    <d v="2026-07-13T00:00:00"/>
    <s v="Jul"/>
    <x v="1"/>
    <s v="UPI ID"/>
    <x v="5"/>
    <s v="Groceries"/>
    <n v="7407"/>
    <s v="Success"/>
  </r>
  <r>
    <s v="UPI0355"/>
    <d v="2026-07-14T00:00:00"/>
    <s v="Jul"/>
    <x v="1"/>
    <s v="UPI PIN"/>
    <x v="6"/>
    <s v="Shopping"/>
    <n v="9105"/>
    <s v="Success"/>
  </r>
  <r>
    <s v="UPI0035"/>
    <d v="2026-07-14T00:00:00"/>
    <s v="Jul"/>
    <x v="2"/>
    <s v="UPI ID"/>
    <x v="2"/>
    <s v="Education"/>
    <n v="6446"/>
    <s v="Success"/>
  </r>
  <r>
    <s v="UPI0196"/>
    <d v="2026-07-14T00:00:00"/>
    <s v="Jul"/>
    <x v="0"/>
    <s v="Mobile Number"/>
    <x v="1"/>
    <s v="Education"/>
    <n v="11578"/>
    <s v="Failed"/>
  </r>
  <r>
    <s v="UPI0145"/>
    <d v="2026-07-15T00:00:00"/>
    <s v="Jul"/>
    <x v="0"/>
    <s v="UPI ID"/>
    <x v="0"/>
    <s v="Bills"/>
    <n v="11242"/>
    <s v="Failed"/>
  </r>
  <r>
    <s v="UPI0017"/>
    <d v="2026-07-15T00:00:00"/>
    <s v="Jul"/>
    <x v="2"/>
    <s v="UPI PIN"/>
    <x v="1"/>
    <s v="Travel"/>
    <n v="7718"/>
    <s v="Failed"/>
  </r>
  <r>
    <s v="UPI0176"/>
    <d v="2026-07-15T00:00:00"/>
    <s v="Jul"/>
    <x v="2"/>
    <s v="UPI ID"/>
    <x v="5"/>
    <s v="Food"/>
    <n v="8742"/>
    <s v="Failed"/>
  </r>
  <r>
    <s v="UPI0475"/>
    <d v="2026-07-16T00:00:00"/>
    <s v="Jul"/>
    <x v="0"/>
    <s v="QR Code"/>
    <x v="6"/>
    <s v="Education"/>
    <n v="6918"/>
    <s v="Success"/>
  </r>
  <r>
    <s v="UPI0149"/>
    <d v="2026-07-16T00:00:00"/>
    <s v="Jul"/>
    <x v="0"/>
    <s v="UPI ID"/>
    <x v="7"/>
    <s v="Travel"/>
    <n v="1797"/>
    <s v="Success"/>
  </r>
  <r>
    <s v="UPI0273"/>
    <d v="2026-07-16T00:00:00"/>
    <s v="Jul"/>
    <x v="0"/>
    <s v="QR Code"/>
    <x v="7"/>
    <s v="Healthcare"/>
    <n v="6900"/>
    <s v="Failed"/>
  </r>
  <r>
    <s v="UPI0279"/>
    <d v="2026-07-17T00:00:00"/>
    <s v="Jul"/>
    <x v="2"/>
    <s v="UPI PIN"/>
    <x v="0"/>
    <s v="Food"/>
    <n v="7428"/>
    <s v="Failed"/>
  </r>
  <r>
    <s v="UPI0212"/>
    <d v="2026-07-18T00:00:00"/>
    <s v="Jul"/>
    <x v="2"/>
    <s v="UPI PIN"/>
    <x v="7"/>
    <s v="Food"/>
    <n v="12738"/>
    <s v="Success"/>
  </r>
  <r>
    <s v="UPI0236"/>
    <d v="2026-07-18T00:00:00"/>
    <s v="Jul"/>
    <x v="3"/>
    <s v="Mobile Number"/>
    <x v="1"/>
    <s v="Healthcare"/>
    <n v="4205"/>
    <s v="Success"/>
  </r>
  <r>
    <s v="UPI0378"/>
    <d v="2026-07-21T00:00:00"/>
    <s v="Jul"/>
    <x v="0"/>
    <s v="QR Code"/>
    <x v="6"/>
    <s v="Recharge"/>
    <n v="1915"/>
    <s v="Success"/>
  </r>
  <r>
    <s v="UPI0280"/>
    <d v="2026-07-21T00:00:00"/>
    <s v="Jul"/>
    <x v="2"/>
    <s v="Mobile Number"/>
    <x v="0"/>
    <s v="Bills"/>
    <n v="13073"/>
    <s v="Success"/>
  </r>
  <r>
    <s v="UPI0227"/>
    <d v="2026-07-22T00:00:00"/>
    <s v="Jul"/>
    <x v="0"/>
    <s v="UPI ID"/>
    <x v="1"/>
    <s v="Healthcare"/>
    <n v="6176"/>
    <s v="Failed"/>
  </r>
  <r>
    <s v="UPI0353"/>
    <d v="2026-07-23T00:00:00"/>
    <s v="Jul"/>
    <x v="1"/>
    <s v="UPI ID"/>
    <x v="3"/>
    <s v="Bills"/>
    <n v="6162"/>
    <s v="Success"/>
  </r>
  <r>
    <s v="UPI0243"/>
    <d v="2026-07-24T00:00:00"/>
    <s v="Jul"/>
    <x v="1"/>
    <s v="Mobile Number"/>
    <x v="0"/>
    <s v="Recharge"/>
    <n v="7254"/>
    <s v="Pending"/>
  </r>
  <r>
    <s v="UPI0451"/>
    <d v="2026-07-25T00:00:00"/>
    <s v="Jul"/>
    <x v="1"/>
    <s v="Mobile Number"/>
    <x v="2"/>
    <s v="Healthcare"/>
    <n v="14418"/>
    <s v="Success"/>
  </r>
  <r>
    <s v="UPI0328"/>
    <d v="2026-07-25T00:00:00"/>
    <s v="Jul"/>
    <x v="0"/>
    <s v="UPI PIN"/>
    <x v="0"/>
    <s v="Travel"/>
    <n v="3889"/>
    <s v="Success"/>
  </r>
  <r>
    <s v="UPI0065"/>
    <d v="2026-07-27T00:00:00"/>
    <s v="Jul"/>
    <x v="3"/>
    <s v="Mobile Number"/>
    <x v="2"/>
    <s v="Bills"/>
    <n v="13709"/>
    <s v="Failed"/>
  </r>
  <r>
    <s v="UPI0311"/>
    <d v="2026-07-27T00:00:00"/>
    <s v="Jul"/>
    <x v="2"/>
    <s v="UPI PIN"/>
    <x v="2"/>
    <s v="Healthcare"/>
    <n v="8283"/>
    <s v="Pending"/>
  </r>
  <r>
    <s v="UPI0268"/>
    <d v="2026-07-27T00:00:00"/>
    <s v="Jul"/>
    <x v="3"/>
    <s v="UPI PIN"/>
    <x v="0"/>
    <s v="Recharge"/>
    <n v="7480"/>
    <s v="Success"/>
  </r>
  <r>
    <s v="UPI0034"/>
    <d v="2026-07-28T00:00:00"/>
    <s v="Jul"/>
    <x v="0"/>
    <s v="UPI ID"/>
    <x v="6"/>
    <s v="Shopping"/>
    <n v="7936"/>
    <s v="Success"/>
  </r>
  <r>
    <s v="UPI0114"/>
    <d v="2026-07-29T00:00:00"/>
    <s v="Jul"/>
    <x v="1"/>
    <s v="Mobile Number"/>
    <x v="6"/>
    <s v="Bills"/>
    <n v="11344"/>
    <s v="Success"/>
  </r>
  <r>
    <s v="UPI0411"/>
    <d v="2026-07-30T00:00:00"/>
    <s v="Jul"/>
    <x v="0"/>
    <s v="QR Code"/>
    <x v="3"/>
    <s v="Shopping"/>
    <n v="4593"/>
    <s v="Success"/>
  </r>
  <r>
    <s v="UPI0178"/>
    <d v="2026-07-31T00:00:00"/>
    <s v="Jul"/>
    <x v="1"/>
    <s v="UPI ID"/>
    <x v="5"/>
    <s v="Food"/>
    <n v="13606"/>
    <s v="Success"/>
  </r>
  <r>
    <s v="UPI0370"/>
    <d v="2026-07-31T00:00:00"/>
    <s v="Jul"/>
    <x v="3"/>
    <s v="QR Code"/>
    <x v="0"/>
    <s v="Education"/>
    <n v="12815"/>
    <s v="Success"/>
  </r>
  <r>
    <s v="UPI0298"/>
    <d v="2026-07-31T00:00:00"/>
    <s v="Jul"/>
    <x v="1"/>
    <s v="UPI PIN"/>
    <x v="0"/>
    <s v="Groceries"/>
    <n v="11803"/>
    <s v="Success"/>
  </r>
  <r>
    <s v="UPI0413"/>
    <d v="2026-08-01T00:00:00"/>
    <s v="Aug"/>
    <x v="3"/>
    <s v="UPI PIN"/>
    <x v="5"/>
    <s v="Travel"/>
    <n v="7455"/>
    <s v="Success"/>
  </r>
  <r>
    <s v="UPI0313"/>
    <d v="2026-08-01T00:00:00"/>
    <s v="Aug"/>
    <x v="1"/>
    <s v="QR Code"/>
    <x v="3"/>
    <s v="Food"/>
    <n v="9048"/>
    <s v="Pending"/>
  </r>
  <r>
    <s v="UPI0269"/>
    <d v="2026-08-01T00:00:00"/>
    <s v="Aug"/>
    <x v="0"/>
    <s v="Mobile Number"/>
    <x v="0"/>
    <s v="Healthcare"/>
    <n v="7659"/>
    <s v="Success"/>
  </r>
  <r>
    <s v="UPI0402"/>
    <d v="2026-08-01T00:00:00"/>
    <s v="Aug"/>
    <x v="1"/>
    <s v="UPI ID"/>
    <x v="0"/>
    <s v="Food"/>
    <n v="13810"/>
    <s v="Pending"/>
  </r>
  <r>
    <s v="UPI0449"/>
    <d v="2026-08-02T00:00:00"/>
    <s v="Aug"/>
    <x v="2"/>
    <s v="UPI PIN"/>
    <x v="7"/>
    <s v="Food"/>
    <n v="5291"/>
    <s v="Pending"/>
  </r>
  <r>
    <s v="UPI0288"/>
    <d v="2026-08-03T00:00:00"/>
    <s v="Aug"/>
    <x v="0"/>
    <s v="UPI ID"/>
    <x v="4"/>
    <s v="Groceries"/>
    <n v="6815"/>
    <s v="Success"/>
  </r>
  <r>
    <s v="UPI0232"/>
    <d v="2026-08-03T00:00:00"/>
    <s v="Aug"/>
    <x v="1"/>
    <s v="UPI PIN"/>
    <x v="1"/>
    <s v="Recharge"/>
    <n v="13057"/>
    <s v="Pending"/>
  </r>
  <r>
    <s v="UPI0326"/>
    <d v="2026-08-03T00:00:00"/>
    <s v="Aug"/>
    <x v="3"/>
    <s v="QR Code"/>
    <x v="3"/>
    <s v="Food"/>
    <n v="12601"/>
    <s v="Failed"/>
  </r>
  <r>
    <s v="UPI0457"/>
    <d v="2026-08-03T00:00:00"/>
    <s v="Aug"/>
    <x v="0"/>
    <s v="Mobile Number"/>
    <x v="1"/>
    <s v="Groceries"/>
    <n v="1031"/>
    <s v="Success"/>
  </r>
  <r>
    <s v="UPI0093"/>
    <d v="2026-08-04T00:00:00"/>
    <s v="Aug"/>
    <x v="1"/>
    <s v="Mobile Number"/>
    <x v="4"/>
    <s v="Shopping"/>
    <n v="1779"/>
    <s v="Success"/>
  </r>
  <r>
    <s v="UPI0321"/>
    <d v="2026-08-04T00:00:00"/>
    <s v="Aug"/>
    <x v="1"/>
    <s v="UPI ID"/>
    <x v="5"/>
    <s v="Education"/>
    <n v="14653"/>
    <s v="Success"/>
  </r>
  <r>
    <s v="UPI0399"/>
    <d v="2026-08-05T00:00:00"/>
    <s v="Aug"/>
    <x v="0"/>
    <s v="QR Code"/>
    <x v="4"/>
    <s v="Travel"/>
    <n v="8023"/>
    <s v="Success"/>
  </r>
  <r>
    <s v="UPI0424"/>
    <d v="2026-08-05T00:00:00"/>
    <s v="Aug"/>
    <x v="1"/>
    <s v="UPI PIN"/>
    <x v="3"/>
    <s v="Education"/>
    <n v="2215"/>
    <s v="Pending"/>
  </r>
  <r>
    <s v="UPI0191"/>
    <d v="2026-08-06T00:00:00"/>
    <s v="Aug"/>
    <x v="1"/>
    <s v="UPI ID"/>
    <x v="2"/>
    <s v="Bills"/>
    <n v="9996"/>
    <s v="Success"/>
  </r>
  <r>
    <s v="UPI0406"/>
    <d v="2026-08-06T00:00:00"/>
    <s v="Aug"/>
    <x v="0"/>
    <s v="Mobile Number"/>
    <x v="6"/>
    <s v="Recharge"/>
    <n v="12108"/>
    <s v="Success"/>
  </r>
  <r>
    <s v="UPI0174"/>
    <d v="2026-08-07T00:00:00"/>
    <s v="Aug"/>
    <x v="1"/>
    <s v="UPI ID"/>
    <x v="1"/>
    <s v="Food"/>
    <n v="1818"/>
    <s v="Pending"/>
  </r>
  <r>
    <s v="UPI0419"/>
    <d v="2026-08-08T00:00:00"/>
    <s v="Aug"/>
    <x v="0"/>
    <s v="Mobile Number"/>
    <x v="0"/>
    <s v="Travel"/>
    <n v="11331"/>
    <s v="Success"/>
  </r>
  <r>
    <s v="UPI0185"/>
    <d v="2026-08-08T00:00:00"/>
    <s v="Aug"/>
    <x v="3"/>
    <s v="Mobile Number"/>
    <x v="6"/>
    <s v="Shopping"/>
    <n v="12623"/>
    <s v="Failed"/>
  </r>
  <r>
    <s v="UPI0245"/>
    <d v="2026-08-09T00:00:00"/>
    <s v="Aug"/>
    <x v="0"/>
    <s v="Mobile Number"/>
    <x v="7"/>
    <s v="Food"/>
    <n v="13523"/>
    <s v="Failed"/>
  </r>
  <r>
    <s v="UPI0498"/>
    <d v="2026-08-09T00:00:00"/>
    <s v="Aug"/>
    <x v="1"/>
    <s v="QR Code"/>
    <x v="6"/>
    <s v="Food"/>
    <n v="2753"/>
    <s v="Pending"/>
  </r>
  <r>
    <s v="UPI0066"/>
    <d v="2026-08-09T00:00:00"/>
    <s v="Aug"/>
    <x v="2"/>
    <s v="UPI ID"/>
    <x v="4"/>
    <s v="Recharge"/>
    <n v="9989"/>
    <s v="Failed"/>
  </r>
  <r>
    <s v="UPI0262"/>
    <d v="2026-08-10T00:00:00"/>
    <s v="Aug"/>
    <x v="3"/>
    <s v="UPI PIN"/>
    <x v="0"/>
    <s v="Travel"/>
    <n v="14971"/>
    <s v="Failed"/>
  </r>
  <r>
    <s v="UPI0094"/>
    <d v="2026-08-11T00:00:00"/>
    <s v="Aug"/>
    <x v="2"/>
    <s v="UPI ID"/>
    <x v="4"/>
    <s v="Education"/>
    <n v="12072"/>
    <s v="Success"/>
  </r>
  <r>
    <s v="UPI0440"/>
    <d v="2026-08-11T00:00:00"/>
    <s v="Aug"/>
    <x v="3"/>
    <s v="Mobile Number"/>
    <x v="0"/>
    <s v="Food"/>
    <n v="7478"/>
    <s v="Success"/>
  </r>
  <r>
    <s v="UPI0248"/>
    <d v="2026-08-11T00:00:00"/>
    <s v="Aug"/>
    <x v="3"/>
    <s v="UPI PIN"/>
    <x v="5"/>
    <s v="Healthcare"/>
    <n v="10527"/>
    <s v="Success"/>
  </r>
  <r>
    <s v="UPI0211"/>
    <d v="2026-08-13T00:00:00"/>
    <s v="Aug"/>
    <x v="0"/>
    <s v="Mobile Number"/>
    <x v="7"/>
    <s v="Travel"/>
    <n v="8614"/>
    <s v="Failed"/>
  </r>
  <r>
    <s v="UPI0205"/>
    <d v="2026-08-14T00:00:00"/>
    <s v="Aug"/>
    <x v="1"/>
    <s v="Mobile Number"/>
    <x v="2"/>
    <s v="Groceries"/>
    <n v="7732"/>
    <s v="Success"/>
  </r>
  <r>
    <s v="UPI0153"/>
    <d v="2026-08-14T00:00:00"/>
    <s v="Aug"/>
    <x v="2"/>
    <s v="QR Code"/>
    <x v="1"/>
    <s v="Travel"/>
    <n v="9545"/>
    <s v="Success"/>
  </r>
  <r>
    <s v="UPI0108"/>
    <d v="2026-08-14T00:00:00"/>
    <s v="Aug"/>
    <x v="3"/>
    <s v="Mobile Number"/>
    <x v="4"/>
    <s v="Food"/>
    <n v="3070"/>
    <s v="Success"/>
  </r>
  <r>
    <s v="UPI0295"/>
    <d v="2026-08-15T00:00:00"/>
    <s v="Aug"/>
    <x v="1"/>
    <s v="QR Code"/>
    <x v="3"/>
    <s v="Travel"/>
    <n v="4251"/>
    <s v="Pending"/>
  </r>
  <r>
    <s v="UPI0142"/>
    <d v="2026-08-16T00:00:00"/>
    <s v="Aug"/>
    <x v="2"/>
    <s v="UPI PIN"/>
    <x v="6"/>
    <s v="Healthcare"/>
    <n v="11420"/>
    <s v="Success"/>
  </r>
  <r>
    <s v="UPI0164"/>
    <d v="2026-08-16T00:00:00"/>
    <s v="Aug"/>
    <x v="2"/>
    <s v="UPI PIN"/>
    <x v="7"/>
    <s v="Healthcare"/>
    <n v="3918"/>
    <s v="Success"/>
  </r>
  <r>
    <s v="UPI0221"/>
    <d v="2026-08-16T00:00:00"/>
    <s v="Aug"/>
    <x v="1"/>
    <s v="QR Code"/>
    <x v="3"/>
    <s v="Travel"/>
    <n v="4718"/>
    <s v="Failed"/>
  </r>
  <r>
    <s v="UPI0256"/>
    <d v="2026-08-16T00:00:00"/>
    <s v="Aug"/>
    <x v="2"/>
    <s v="Mobile Number"/>
    <x v="1"/>
    <s v="Travel"/>
    <n v="13329"/>
    <s v="Success"/>
  </r>
  <r>
    <s v="UPI0252"/>
    <d v="2026-08-16T00:00:00"/>
    <s v="Aug"/>
    <x v="0"/>
    <s v="Mobile Number"/>
    <x v="5"/>
    <s v="Healthcare"/>
    <n v="9453"/>
    <s v="Success"/>
  </r>
  <r>
    <s v="UPI0309"/>
    <d v="2026-08-17T00:00:00"/>
    <s v="Aug"/>
    <x v="2"/>
    <s v="UPI PIN"/>
    <x v="2"/>
    <s v="Healthcare"/>
    <n v="5450"/>
    <s v="Success"/>
  </r>
  <r>
    <s v="UPI0172"/>
    <d v="2026-08-18T00:00:00"/>
    <s v="Aug"/>
    <x v="3"/>
    <s v="UPI ID"/>
    <x v="3"/>
    <s v="Groceries"/>
    <n v="8458"/>
    <s v="Success"/>
  </r>
  <r>
    <s v="UPI0100"/>
    <d v="2026-08-18T00:00:00"/>
    <s v="Aug"/>
    <x v="2"/>
    <s v="QR Code"/>
    <x v="5"/>
    <s v="Bills"/>
    <n v="1574"/>
    <s v="Success"/>
  </r>
  <r>
    <s v="UPI0004"/>
    <d v="2026-08-18T00:00:00"/>
    <s v="Aug"/>
    <x v="3"/>
    <s v="QR Code"/>
    <x v="5"/>
    <s v="Healthcare"/>
    <n v="4607"/>
    <s v="Failed"/>
  </r>
  <r>
    <s v="UPI0363"/>
    <d v="2026-08-19T00:00:00"/>
    <s v="Aug"/>
    <x v="2"/>
    <s v="UPI ID"/>
    <x v="5"/>
    <s v="Shopping"/>
    <n v="3787"/>
    <s v="Success"/>
  </r>
  <r>
    <s v="UPI0162"/>
    <d v="2026-08-21T00:00:00"/>
    <s v="Aug"/>
    <x v="1"/>
    <s v="QR Code"/>
    <x v="5"/>
    <s v="Food"/>
    <n v="11035"/>
    <s v="Success"/>
  </r>
  <r>
    <s v="UPI0317"/>
    <d v="2026-08-21T00:00:00"/>
    <s v="Aug"/>
    <x v="1"/>
    <s v="UPI ID"/>
    <x v="6"/>
    <s v="Recharge"/>
    <n v="8459"/>
    <s v="Success"/>
  </r>
  <r>
    <s v="UPI0158"/>
    <d v="2026-08-21T00:00:00"/>
    <s v="Aug"/>
    <x v="2"/>
    <s v="UPI ID"/>
    <x v="7"/>
    <s v="Food"/>
    <n v="11073"/>
    <s v="Success"/>
  </r>
  <r>
    <s v="UPI0073"/>
    <d v="2026-08-22T00:00:00"/>
    <s v="Aug"/>
    <x v="1"/>
    <s v="Mobile Number"/>
    <x v="4"/>
    <s v="Education"/>
    <n v="13180"/>
    <s v="Success"/>
  </r>
  <r>
    <s v="UPI0014"/>
    <d v="2026-08-23T00:00:00"/>
    <s v="Aug"/>
    <x v="0"/>
    <s v="QR Code"/>
    <x v="2"/>
    <s v="Education"/>
    <n v="4389"/>
    <s v="Success"/>
  </r>
  <r>
    <s v="UPI0325"/>
    <d v="2026-08-24T00:00:00"/>
    <s v="Aug"/>
    <x v="2"/>
    <s v="QR Code"/>
    <x v="1"/>
    <s v="Groceries"/>
    <n v="2591"/>
    <s v="Success"/>
  </r>
  <r>
    <s v="UPI0208"/>
    <d v="2026-08-25T00:00:00"/>
    <s v="Aug"/>
    <x v="3"/>
    <s v="UPI ID"/>
    <x v="3"/>
    <s v="Healthcare"/>
    <n v="9131"/>
    <s v="Failed"/>
  </r>
  <r>
    <s v="UPI0146"/>
    <d v="2026-08-25T00:00:00"/>
    <s v="Aug"/>
    <x v="1"/>
    <s v="Mobile Number"/>
    <x v="6"/>
    <s v="Recharge"/>
    <n v="4211"/>
    <s v="Pending"/>
  </r>
  <r>
    <s v="UPI0464"/>
    <d v="2026-08-26T00:00:00"/>
    <s v="Aug"/>
    <x v="3"/>
    <s v="UPI PIN"/>
    <x v="0"/>
    <s v="Travel"/>
    <n v="14017"/>
    <s v="Success"/>
  </r>
  <r>
    <s v="UPI0204"/>
    <d v="2026-08-26T00:00:00"/>
    <s v="Aug"/>
    <x v="1"/>
    <s v="Mobile Number"/>
    <x v="7"/>
    <s v="Shopping"/>
    <n v="12499"/>
    <s v="Failed"/>
  </r>
  <r>
    <s v="UPI0030"/>
    <d v="2026-08-28T00:00:00"/>
    <s v="Aug"/>
    <x v="3"/>
    <s v="UPI PIN"/>
    <x v="5"/>
    <s v="Healthcare"/>
    <n v="937"/>
    <s v="Pending"/>
  </r>
  <r>
    <s v="UPI0118"/>
    <d v="2026-08-28T00:00:00"/>
    <s v="Aug"/>
    <x v="1"/>
    <s v="Mobile Number"/>
    <x v="4"/>
    <s v="Recharge"/>
    <n v="5032"/>
    <s v="Pending"/>
  </r>
  <r>
    <s v="UPI0259"/>
    <d v="2026-08-28T00:00:00"/>
    <s v="Aug"/>
    <x v="3"/>
    <s v="UPI PIN"/>
    <x v="2"/>
    <s v="Education"/>
    <n v="2176"/>
    <s v="Failed"/>
  </r>
  <r>
    <s v="UPI0222"/>
    <d v="2026-08-29T00:00:00"/>
    <s v="Aug"/>
    <x v="1"/>
    <s v="UPI ID"/>
    <x v="2"/>
    <s v="Education"/>
    <n v="6076"/>
    <s v="Success"/>
  </r>
  <r>
    <s v="UPI0139"/>
    <d v="2026-08-29T00:00:00"/>
    <s v="Aug"/>
    <x v="1"/>
    <s v="UPI PIN"/>
    <x v="7"/>
    <s v="Education"/>
    <n v="5596"/>
    <s v="Success"/>
  </r>
  <r>
    <s v="UPI0121"/>
    <d v="2026-08-29T00:00:00"/>
    <s v="Aug"/>
    <x v="1"/>
    <s v="Mobile Number"/>
    <x v="0"/>
    <s v="Education"/>
    <n v="10724"/>
    <s v="Failed"/>
  </r>
  <r>
    <s v="UPI0131"/>
    <d v="2026-08-30T00:00:00"/>
    <s v="Aug"/>
    <x v="0"/>
    <s v="UPI ID"/>
    <x v="3"/>
    <s v="Shopping"/>
    <n v="7533"/>
    <s v="Success"/>
  </r>
  <r>
    <s v="UPI0136"/>
    <d v="2026-08-31T00:00:00"/>
    <s v="Aug"/>
    <x v="1"/>
    <s v="UPI ID"/>
    <x v="0"/>
    <s v="Recharge"/>
    <n v="13344"/>
    <s v="Pending"/>
  </r>
  <r>
    <s v="UPI0284"/>
    <d v="2026-09-01T00:00:00"/>
    <s v="Sep"/>
    <x v="2"/>
    <s v="UPI PIN"/>
    <x v="5"/>
    <s v="Travel"/>
    <n v="6085"/>
    <s v="Success"/>
  </r>
  <r>
    <s v="UPI0209"/>
    <d v="2026-09-01T00:00:00"/>
    <s v="Sep"/>
    <x v="3"/>
    <s v="UPI ID"/>
    <x v="1"/>
    <s v="Healthcare"/>
    <n v="2521"/>
    <s v="Failed"/>
  </r>
  <r>
    <s v="UPI0023"/>
    <d v="2026-09-01T00:00:00"/>
    <s v="Sep"/>
    <x v="2"/>
    <s v="UPI ID"/>
    <x v="3"/>
    <s v="Bills"/>
    <n v="2755"/>
    <s v="Failed"/>
  </r>
  <r>
    <s v="UPI0080"/>
    <d v="2026-09-02T00:00:00"/>
    <s v="Sep"/>
    <x v="2"/>
    <s v="UPI ID"/>
    <x v="5"/>
    <s v="Bills"/>
    <n v="5813"/>
    <s v="Success"/>
  </r>
  <r>
    <s v="UPI0308"/>
    <d v="2026-09-02T00:00:00"/>
    <s v="Sep"/>
    <x v="3"/>
    <s v="Mobile Number"/>
    <x v="5"/>
    <s v="Bills"/>
    <n v="4114"/>
    <s v="Success"/>
  </r>
  <r>
    <s v="UPI0260"/>
    <d v="2026-09-03T00:00:00"/>
    <s v="Sep"/>
    <x v="1"/>
    <s v="UPI PIN"/>
    <x v="0"/>
    <s v="Healthcare"/>
    <n v="6780"/>
    <s v="Failed"/>
  </r>
  <r>
    <s v="UPI0338"/>
    <d v="2026-09-03T00:00:00"/>
    <s v="Sep"/>
    <x v="2"/>
    <s v="Mobile Number"/>
    <x v="6"/>
    <s v="Bills"/>
    <n v="14295"/>
    <s v="Success"/>
  </r>
  <r>
    <s v="UPI0401"/>
    <d v="2026-09-06T00:00:00"/>
    <s v="Sep"/>
    <x v="1"/>
    <s v="UPI ID"/>
    <x v="5"/>
    <s v="Recharge"/>
    <n v="3246"/>
    <s v="Success"/>
  </r>
  <r>
    <s v="UPI0081"/>
    <d v="2026-09-07T00:00:00"/>
    <s v="Sep"/>
    <x v="1"/>
    <s v="UPI ID"/>
    <x v="6"/>
    <s v="Education"/>
    <n v="4521"/>
    <s v="Success"/>
  </r>
  <r>
    <s v="UPI0487"/>
    <d v="2026-09-07T00:00:00"/>
    <s v="Sep"/>
    <x v="0"/>
    <s v="Mobile Number"/>
    <x v="3"/>
    <s v="Shopping"/>
    <n v="5248"/>
    <s v="Pending"/>
  </r>
  <r>
    <s v="UPI0345"/>
    <d v="2026-09-08T00:00:00"/>
    <s v="Sep"/>
    <x v="1"/>
    <s v="UPI ID"/>
    <x v="0"/>
    <s v="Healthcare"/>
    <n v="10563"/>
    <s v="Pending"/>
  </r>
  <r>
    <s v="UPI0163"/>
    <d v="2026-09-08T00:00:00"/>
    <s v="Sep"/>
    <x v="2"/>
    <s v="UPI PIN"/>
    <x v="7"/>
    <s v="Bills"/>
    <n v="6736"/>
    <s v="Failed"/>
  </r>
  <r>
    <s v="UPI0107"/>
    <d v="2026-09-09T00:00:00"/>
    <s v="Sep"/>
    <x v="3"/>
    <s v="Mobile Number"/>
    <x v="4"/>
    <s v="Recharge"/>
    <n v="14348"/>
    <s v="Success"/>
  </r>
  <r>
    <s v="UPI0255"/>
    <d v="2026-09-09T00:00:00"/>
    <s v="Sep"/>
    <x v="0"/>
    <s v="UPI PIN"/>
    <x v="4"/>
    <s v="Shopping"/>
    <n v="2059"/>
    <s v="Success"/>
  </r>
  <r>
    <s v="UPI0122"/>
    <d v="2026-09-09T00:00:00"/>
    <s v="Sep"/>
    <x v="2"/>
    <s v="UPI ID"/>
    <x v="7"/>
    <s v="Healthcare"/>
    <n v="7750"/>
    <s v="Success"/>
  </r>
  <r>
    <s v="UPI0377"/>
    <d v="2026-09-09T00:00:00"/>
    <s v="Sep"/>
    <x v="0"/>
    <s v="Mobile Number"/>
    <x v="5"/>
    <s v="Travel"/>
    <n v="12861"/>
    <s v="Failed"/>
  </r>
  <r>
    <s v="UPI0494"/>
    <d v="2026-09-10T00:00:00"/>
    <s v="Sep"/>
    <x v="1"/>
    <s v="UPI PIN"/>
    <x v="4"/>
    <s v="Bills"/>
    <n v="5804"/>
    <s v="Success"/>
  </r>
  <r>
    <s v="UPI0416"/>
    <d v="2026-09-11T00:00:00"/>
    <s v="Sep"/>
    <x v="2"/>
    <s v="Mobile Number"/>
    <x v="0"/>
    <s v="Recharge"/>
    <n v="5339"/>
    <s v="Success"/>
  </r>
  <r>
    <s v="UPI0267"/>
    <d v="2026-09-12T00:00:00"/>
    <s v="Sep"/>
    <x v="2"/>
    <s v="Mobile Number"/>
    <x v="4"/>
    <s v="Bills"/>
    <n v="8988"/>
    <s v="Pending"/>
  </r>
  <r>
    <s v="UPI0472"/>
    <d v="2026-09-12T00:00:00"/>
    <s v="Sep"/>
    <x v="1"/>
    <s v="QR Code"/>
    <x v="7"/>
    <s v="Bills"/>
    <n v="6320"/>
    <s v="Success"/>
  </r>
  <r>
    <s v="UPI0151"/>
    <d v="2026-09-12T00:00:00"/>
    <s v="Sep"/>
    <x v="0"/>
    <s v="Mobile Number"/>
    <x v="3"/>
    <s v="Bills"/>
    <n v="12759"/>
    <s v="Success"/>
  </r>
  <r>
    <s v="UPI0244"/>
    <d v="2026-09-12T00:00:00"/>
    <s v="Sep"/>
    <x v="2"/>
    <s v="UPI PIN"/>
    <x v="5"/>
    <s v="Food"/>
    <n v="13112"/>
    <s v="Success"/>
  </r>
  <r>
    <s v="UPI0265"/>
    <d v="2026-09-15T00:00:00"/>
    <s v="Sep"/>
    <x v="0"/>
    <s v="QR Code"/>
    <x v="7"/>
    <s v="Groceries"/>
    <n v="2812"/>
    <s v="Pending"/>
  </r>
  <r>
    <s v="UPI0223"/>
    <d v="2026-09-15T00:00:00"/>
    <s v="Sep"/>
    <x v="0"/>
    <s v="QR Code"/>
    <x v="0"/>
    <s v="Travel"/>
    <n v="6909"/>
    <s v="Failed"/>
  </r>
  <r>
    <s v="UPI0450"/>
    <d v="2026-09-15T00:00:00"/>
    <s v="Sep"/>
    <x v="3"/>
    <s v="QR Code"/>
    <x v="3"/>
    <s v="Groceries"/>
    <n v="14827"/>
    <s v="Pending"/>
  </r>
  <r>
    <s v="UPI0459"/>
    <d v="2026-09-16T00:00:00"/>
    <s v="Sep"/>
    <x v="1"/>
    <s v="UPI PIN"/>
    <x v="6"/>
    <s v="Education"/>
    <n v="10490"/>
    <s v="Success"/>
  </r>
  <r>
    <s v="UPI0436"/>
    <d v="2026-09-17T00:00:00"/>
    <s v="Sep"/>
    <x v="1"/>
    <s v="UPI ID"/>
    <x v="5"/>
    <s v="Food"/>
    <n v="10348"/>
    <s v="Success"/>
  </r>
  <r>
    <s v="UPI0063"/>
    <d v="2026-09-17T00:00:00"/>
    <s v="Sep"/>
    <x v="1"/>
    <s v="Mobile Number"/>
    <x v="5"/>
    <s v="Travel"/>
    <n v="10976"/>
    <s v="Success"/>
  </r>
  <r>
    <s v="UPI0281"/>
    <d v="2026-09-18T00:00:00"/>
    <s v="Sep"/>
    <x v="3"/>
    <s v="UPI PIN"/>
    <x v="6"/>
    <s v="Shopping"/>
    <n v="8243"/>
    <s v="Success"/>
  </r>
  <r>
    <s v="UPI0445"/>
    <d v="2026-09-19T00:00:00"/>
    <s v="Sep"/>
    <x v="1"/>
    <s v="QR Code"/>
    <x v="7"/>
    <s v="Shopping"/>
    <n v="958"/>
    <s v="Success"/>
  </r>
  <r>
    <s v="UPI0192"/>
    <d v="2026-09-20T00:00:00"/>
    <s v="Sep"/>
    <x v="1"/>
    <s v="UPI PIN"/>
    <x v="2"/>
    <s v="Recharge"/>
    <n v="5705"/>
    <s v="Success"/>
  </r>
  <r>
    <s v="UPI0249"/>
    <d v="2026-09-20T00:00:00"/>
    <s v="Sep"/>
    <x v="0"/>
    <s v="UPI PIN"/>
    <x v="0"/>
    <s v="Recharge"/>
    <n v="11181"/>
    <s v="Pending"/>
  </r>
  <r>
    <s v="UPI0307"/>
    <d v="2026-09-21T00:00:00"/>
    <s v="Sep"/>
    <x v="1"/>
    <s v="UPI PIN"/>
    <x v="0"/>
    <s v="Shopping"/>
    <n v="1471"/>
    <s v="Success"/>
  </r>
  <r>
    <s v="UPI0271"/>
    <d v="2026-09-21T00:00:00"/>
    <s v="Sep"/>
    <x v="2"/>
    <s v="QR Code"/>
    <x v="4"/>
    <s v="Food"/>
    <n v="1789"/>
    <s v="Failed"/>
  </r>
  <r>
    <s v="UPI0431"/>
    <d v="2026-09-23T00:00:00"/>
    <s v="Sep"/>
    <x v="0"/>
    <s v="UPI ID"/>
    <x v="2"/>
    <s v="Groceries"/>
    <n v="8398"/>
    <s v="Failed"/>
  </r>
  <r>
    <s v="UPI0423"/>
    <d v="2026-09-23T00:00:00"/>
    <s v="Sep"/>
    <x v="3"/>
    <s v="UPI PIN"/>
    <x v="7"/>
    <s v="Food"/>
    <n v="7341"/>
    <s v="Pending"/>
  </r>
  <r>
    <s v="UPI0173"/>
    <d v="2026-09-24T00:00:00"/>
    <s v="Sep"/>
    <x v="3"/>
    <s v="UPI PIN"/>
    <x v="4"/>
    <s v="Education"/>
    <n v="7554"/>
    <s v="Success"/>
  </r>
  <r>
    <s v="UPI0111"/>
    <d v="2026-09-25T00:00:00"/>
    <s v="Sep"/>
    <x v="1"/>
    <s v="Mobile Number"/>
    <x v="5"/>
    <s v="Travel"/>
    <n v="7431"/>
    <s v="Success"/>
  </r>
  <r>
    <s v="UPI0442"/>
    <d v="2026-09-25T00:00:00"/>
    <s v="Sep"/>
    <x v="2"/>
    <s v="QR Code"/>
    <x v="7"/>
    <s v="Shopping"/>
    <n v="12878"/>
    <s v="Failed"/>
  </r>
  <r>
    <s v="UPI0352"/>
    <d v="2026-09-26T00:00:00"/>
    <s v="Sep"/>
    <x v="0"/>
    <s v="Mobile Number"/>
    <x v="7"/>
    <s v="Travel"/>
    <n v="3998"/>
    <s v="Success"/>
  </r>
  <r>
    <s v="UPI0235"/>
    <d v="2026-09-26T00:00:00"/>
    <s v="Sep"/>
    <x v="3"/>
    <s v="UPI ID"/>
    <x v="4"/>
    <s v="Groceries"/>
    <n v="1158"/>
    <s v="Success"/>
  </r>
  <r>
    <s v="UPI0314"/>
    <d v="2026-09-27T00:00:00"/>
    <s v="Sep"/>
    <x v="2"/>
    <s v="UPI PIN"/>
    <x v="1"/>
    <s v="Groceries"/>
    <n v="8703"/>
    <s v="Success"/>
  </r>
  <r>
    <s v="UPI0193"/>
    <d v="2026-09-27T00:00:00"/>
    <s v="Sep"/>
    <x v="3"/>
    <s v="QR Code"/>
    <x v="5"/>
    <s v="Groceries"/>
    <n v="5103"/>
    <s v="Pending"/>
  </r>
  <r>
    <s v="UPI0138"/>
    <d v="2026-09-27T00:00:00"/>
    <s v="Sep"/>
    <x v="0"/>
    <s v="UPI ID"/>
    <x v="0"/>
    <s v="Food"/>
    <n v="301"/>
    <s v="Success"/>
  </r>
  <r>
    <s v="UPI0433"/>
    <d v="2026-09-28T00:00:00"/>
    <s v="Sep"/>
    <x v="2"/>
    <s v="QR Code"/>
    <x v="5"/>
    <s v="Education"/>
    <n v="5966"/>
    <s v="Success"/>
  </r>
  <r>
    <s v="UPI0144"/>
    <d v="2026-09-29T00:00:00"/>
    <s v="Sep"/>
    <x v="0"/>
    <s v="QR Code"/>
    <x v="0"/>
    <s v="Food"/>
    <n v="9322"/>
    <s v="Success"/>
  </r>
  <r>
    <s v="UPI0155"/>
    <d v="2026-09-29T00:00:00"/>
    <s v="Sep"/>
    <x v="0"/>
    <s v="Mobile Number"/>
    <x v="4"/>
    <s v="Travel"/>
    <n v="4515"/>
    <s v="Failed"/>
  </r>
  <r>
    <s v="UPI0350"/>
    <d v="2026-09-30T00:00:00"/>
    <s v="Sep"/>
    <x v="3"/>
    <s v="UPI PIN"/>
    <x v="2"/>
    <s v="Travel"/>
    <n v="6789"/>
    <s v="Failed"/>
  </r>
  <r>
    <s v="UPI0092"/>
    <d v="2026-09-30T00:00:00"/>
    <s v="Sep"/>
    <x v="2"/>
    <s v="UPI PIN"/>
    <x v="7"/>
    <s v="Groceries"/>
    <n v="10888"/>
    <s v="Success"/>
  </r>
  <r>
    <s v="UPI0083"/>
    <d v="2026-10-01T00:00:00"/>
    <s v="Oct"/>
    <x v="1"/>
    <s v="UPI PIN"/>
    <x v="1"/>
    <s v="Education"/>
    <n v="14909"/>
    <s v="Success"/>
  </r>
  <r>
    <s v="UPI0106"/>
    <d v="2026-10-01T00:00:00"/>
    <s v="Oct"/>
    <x v="3"/>
    <s v="UPI PIN"/>
    <x v="2"/>
    <s v="Shopping"/>
    <n v="4544"/>
    <s v="Success"/>
  </r>
  <r>
    <s v="UPI0007"/>
    <d v="2026-10-02T00:00:00"/>
    <s v="Oct"/>
    <x v="3"/>
    <s v="Mobile Number"/>
    <x v="7"/>
    <s v="Bills"/>
    <n v="6251"/>
    <s v="Success"/>
  </r>
  <r>
    <s v="UPI0233"/>
    <d v="2026-10-02T00:00:00"/>
    <s v="Oct"/>
    <x v="0"/>
    <s v="QR Code"/>
    <x v="2"/>
    <s v="Education"/>
    <n v="10403"/>
    <s v="Success"/>
  </r>
  <r>
    <s v="UPI0394"/>
    <d v="2026-10-02T00:00:00"/>
    <s v="Oct"/>
    <x v="2"/>
    <s v="QR Code"/>
    <x v="4"/>
    <s v="Food"/>
    <n v="6043"/>
    <s v="Success"/>
  </r>
  <r>
    <s v="UPI0437"/>
    <d v="2026-10-02T00:00:00"/>
    <s v="Oct"/>
    <x v="0"/>
    <s v="Mobile Number"/>
    <x v="1"/>
    <s v="Travel"/>
    <n v="10143"/>
    <s v="Failed"/>
  </r>
  <r>
    <s v="UPI0323"/>
    <d v="2026-10-03T00:00:00"/>
    <s v="Oct"/>
    <x v="0"/>
    <s v="QR Code"/>
    <x v="6"/>
    <s v="Groceries"/>
    <n v="8714"/>
    <s v="Success"/>
  </r>
  <r>
    <s v="UPI0077"/>
    <d v="2026-10-04T00:00:00"/>
    <s v="Oct"/>
    <x v="0"/>
    <s v="QR Code"/>
    <x v="5"/>
    <s v="Shopping"/>
    <n v="2317"/>
    <s v="Success"/>
  </r>
  <r>
    <s v="UPI0028"/>
    <d v="2026-10-04T00:00:00"/>
    <s v="Oct"/>
    <x v="1"/>
    <s v="QR Code"/>
    <x v="4"/>
    <s v="Education"/>
    <n v="11901"/>
    <s v="Success"/>
  </r>
  <r>
    <s v="UPI0169"/>
    <d v="2026-10-04T00:00:00"/>
    <s v="Oct"/>
    <x v="0"/>
    <s v="UPI PIN"/>
    <x v="6"/>
    <s v="Shopping"/>
    <n v="13132"/>
    <s v="Success"/>
  </r>
  <r>
    <s v="UPI0241"/>
    <d v="2026-10-06T00:00:00"/>
    <s v="Oct"/>
    <x v="3"/>
    <s v="QR Code"/>
    <x v="2"/>
    <s v="Healthcare"/>
    <n v="4200"/>
    <s v="Success"/>
  </r>
  <r>
    <s v="UPI0315"/>
    <d v="2026-10-08T00:00:00"/>
    <s v="Oct"/>
    <x v="0"/>
    <s v="QR Code"/>
    <x v="7"/>
    <s v="Recharge"/>
    <n v="3362"/>
    <s v="Failed"/>
  </r>
  <r>
    <s v="UPI0074"/>
    <d v="2026-10-08T00:00:00"/>
    <s v="Oct"/>
    <x v="0"/>
    <s v="UPI ID"/>
    <x v="4"/>
    <s v="Travel"/>
    <n v="14749"/>
    <s v="Success"/>
  </r>
  <r>
    <s v="UPI0299"/>
    <d v="2026-10-09T00:00:00"/>
    <s v="Oct"/>
    <x v="1"/>
    <s v="UPI ID"/>
    <x v="3"/>
    <s v="Travel"/>
    <n v="6716"/>
    <s v="Success"/>
  </r>
  <r>
    <s v="UPI0102"/>
    <d v="2026-10-09T00:00:00"/>
    <s v="Oct"/>
    <x v="1"/>
    <s v="Mobile Number"/>
    <x v="2"/>
    <s v="Travel"/>
    <n v="5814"/>
    <s v="Success"/>
  </r>
  <r>
    <s v="UPI0124"/>
    <d v="2026-10-09T00:00:00"/>
    <s v="Oct"/>
    <x v="3"/>
    <s v="Mobile Number"/>
    <x v="2"/>
    <s v="Healthcare"/>
    <n v="7501"/>
    <s v="Success"/>
  </r>
  <r>
    <s v="UPI0129"/>
    <d v="2026-10-10T00:00:00"/>
    <s v="Oct"/>
    <x v="0"/>
    <s v="UPI PIN"/>
    <x v="4"/>
    <s v="Food"/>
    <n v="1577"/>
    <s v="Success"/>
  </r>
  <r>
    <s v="UPI0064"/>
    <d v="2026-10-11T00:00:00"/>
    <s v="Oct"/>
    <x v="1"/>
    <s v="UPI ID"/>
    <x v="0"/>
    <s v="Travel"/>
    <n v="3193"/>
    <s v="Success"/>
  </r>
  <r>
    <s v="UPI0036"/>
    <d v="2026-10-12T00:00:00"/>
    <s v="Oct"/>
    <x v="1"/>
    <s v="QR Code"/>
    <x v="3"/>
    <s v="Travel"/>
    <n v="11820"/>
    <s v="Pending"/>
  </r>
  <r>
    <s v="UPI0368"/>
    <d v="2026-10-13T00:00:00"/>
    <s v="Oct"/>
    <x v="1"/>
    <s v="UPI PIN"/>
    <x v="6"/>
    <s v="Food"/>
    <n v="8445"/>
    <s v="Failed"/>
  </r>
  <r>
    <s v="UPI0157"/>
    <d v="2026-10-13T00:00:00"/>
    <s v="Oct"/>
    <x v="1"/>
    <s v="UPI PIN"/>
    <x v="2"/>
    <s v="Food"/>
    <n v="1529"/>
    <s v="Success"/>
  </r>
  <r>
    <s v="UPI0335"/>
    <d v="2026-10-13T00:00:00"/>
    <s v="Oct"/>
    <x v="1"/>
    <s v="QR Code"/>
    <x v="2"/>
    <s v="Bills"/>
    <n v="2246"/>
    <s v="Failed"/>
  </r>
  <r>
    <s v="UPI0293"/>
    <d v="2026-10-14T00:00:00"/>
    <s v="Oct"/>
    <x v="2"/>
    <s v="UPI PIN"/>
    <x v="5"/>
    <s v="Education"/>
    <n v="4530"/>
    <s v="Pending"/>
  </r>
  <r>
    <s v="UPI0296"/>
    <d v="2026-10-15T00:00:00"/>
    <s v="Oct"/>
    <x v="0"/>
    <s v="UPI PIN"/>
    <x v="3"/>
    <s v="Bills"/>
    <n v="4500"/>
    <s v="Pending"/>
  </r>
  <r>
    <s v="UPI0050"/>
    <d v="2026-10-15T00:00:00"/>
    <s v="Oct"/>
    <x v="3"/>
    <s v="QR Code"/>
    <x v="6"/>
    <s v="Healthcare"/>
    <n v="1882"/>
    <s v="Success"/>
  </r>
  <r>
    <s v="UPI0254"/>
    <d v="2026-10-15T00:00:00"/>
    <s v="Oct"/>
    <x v="2"/>
    <s v="UPI ID"/>
    <x v="3"/>
    <s v="Travel"/>
    <n v="4338"/>
    <s v="Success"/>
  </r>
  <r>
    <s v="UPI0360"/>
    <d v="2026-10-16T00:00:00"/>
    <s v="Oct"/>
    <x v="1"/>
    <s v="Mobile Number"/>
    <x v="5"/>
    <s v="Shopping"/>
    <n v="9334"/>
    <s v="Success"/>
  </r>
  <r>
    <s v="UPI0110"/>
    <d v="2026-10-16T00:00:00"/>
    <s v="Oct"/>
    <x v="0"/>
    <s v="UPI PIN"/>
    <x v="5"/>
    <s v="Bills"/>
    <n v="1445"/>
    <s v="Success"/>
  </r>
  <r>
    <s v="UPI0453"/>
    <d v="2026-10-16T00:00:00"/>
    <s v="Oct"/>
    <x v="0"/>
    <s v="UPI ID"/>
    <x v="7"/>
    <s v="Recharge"/>
    <n v="12167"/>
    <s v="Success"/>
  </r>
  <r>
    <s v="UPI0490"/>
    <d v="2026-10-17T00:00:00"/>
    <s v="Oct"/>
    <x v="0"/>
    <s v="Mobile Number"/>
    <x v="1"/>
    <s v="Bills"/>
    <n v="8179"/>
    <s v="Success"/>
  </r>
  <r>
    <s v="UPI0403"/>
    <d v="2026-10-17T00:00:00"/>
    <s v="Oct"/>
    <x v="0"/>
    <s v="Mobile Number"/>
    <x v="6"/>
    <s v="Travel"/>
    <n v="13089"/>
    <s v="Success"/>
  </r>
  <r>
    <s v="UPI0303"/>
    <d v="2026-10-18T00:00:00"/>
    <s v="Oct"/>
    <x v="2"/>
    <s v="Mobile Number"/>
    <x v="4"/>
    <s v="Recharge"/>
    <n v="1808"/>
    <s v="Failed"/>
  </r>
  <r>
    <s v="UPI0251"/>
    <d v="2026-10-18T00:00:00"/>
    <s v="Oct"/>
    <x v="0"/>
    <s v="UPI ID"/>
    <x v="7"/>
    <s v="Healthcare"/>
    <n v="9963"/>
    <s v="Success"/>
  </r>
  <r>
    <s v="UPI0022"/>
    <d v="2026-10-18T00:00:00"/>
    <s v="Oct"/>
    <x v="1"/>
    <s v="UPI PIN"/>
    <x v="0"/>
    <s v="Shopping"/>
    <n v="1453"/>
    <s v="Success"/>
  </r>
  <r>
    <s v="UPI0112"/>
    <d v="2026-10-19T00:00:00"/>
    <s v="Oct"/>
    <x v="3"/>
    <s v="QR Code"/>
    <x v="3"/>
    <s v="Travel"/>
    <n v="1036"/>
    <s v="Failed"/>
  </r>
  <r>
    <s v="UPI0287"/>
    <d v="2026-10-21T00:00:00"/>
    <s v="Oct"/>
    <x v="0"/>
    <s v="UPI PIN"/>
    <x v="4"/>
    <s v="Healthcare"/>
    <n v="1850"/>
    <s v="Pending"/>
  </r>
  <r>
    <s v="UPI0489"/>
    <d v="2026-10-21T00:00:00"/>
    <s v="Oct"/>
    <x v="3"/>
    <s v="QR Code"/>
    <x v="7"/>
    <s v="Bills"/>
    <n v="13988"/>
    <s v="Success"/>
  </r>
  <r>
    <s v="UPI0198"/>
    <d v="2026-10-21T00:00:00"/>
    <s v="Oct"/>
    <x v="1"/>
    <s v="Mobile Number"/>
    <x v="1"/>
    <s v="Education"/>
    <n v="11674"/>
    <s v="Success"/>
  </r>
  <r>
    <s v="UPI0405"/>
    <d v="2026-10-21T00:00:00"/>
    <s v="Oct"/>
    <x v="2"/>
    <s v="UPI PIN"/>
    <x v="4"/>
    <s v="Bills"/>
    <n v="4439"/>
    <s v="Success"/>
  </r>
  <r>
    <s v="UPI0070"/>
    <d v="2026-10-22T00:00:00"/>
    <s v="Oct"/>
    <x v="1"/>
    <s v="UPI ID"/>
    <x v="5"/>
    <s v="Bills"/>
    <n v="11819"/>
    <s v="Success"/>
  </r>
  <r>
    <s v="UPI0061"/>
    <d v="2026-10-23T00:00:00"/>
    <s v="Oct"/>
    <x v="3"/>
    <s v="UPI ID"/>
    <x v="6"/>
    <s v="Bills"/>
    <n v="4223"/>
    <s v="Success"/>
  </r>
  <r>
    <s v="UPI0319"/>
    <d v="2026-10-24T00:00:00"/>
    <s v="Oct"/>
    <x v="1"/>
    <s v="Mobile Number"/>
    <x v="1"/>
    <s v="Groceries"/>
    <n v="792"/>
    <s v="Success"/>
  </r>
  <r>
    <s v="UPI0090"/>
    <d v="2026-10-24T00:00:00"/>
    <s v="Oct"/>
    <x v="1"/>
    <s v="UPI ID"/>
    <x v="3"/>
    <s v="Food"/>
    <n v="5161"/>
    <s v="Success"/>
  </r>
  <r>
    <s v="UPI0040"/>
    <d v="2026-10-24T00:00:00"/>
    <s v="Oct"/>
    <x v="3"/>
    <s v="UPI ID"/>
    <x v="7"/>
    <s v="Travel"/>
    <n v="701"/>
    <s v="Failed"/>
  </r>
  <r>
    <s v="UPI0051"/>
    <d v="2026-10-26T00:00:00"/>
    <s v="Oct"/>
    <x v="1"/>
    <s v="QR Code"/>
    <x v="6"/>
    <s v="Travel"/>
    <n v="2476"/>
    <s v="Failed"/>
  </r>
  <r>
    <s v="UPI0015"/>
    <d v="2026-10-26T00:00:00"/>
    <s v="Oct"/>
    <x v="0"/>
    <s v="QR Code"/>
    <x v="4"/>
    <s v="Food"/>
    <n v="5980"/>
    <s v="Success"/>
  </r>
  <r>
    <s v="UPI0364"/>
    <d v="2026-10-27T00:00:00"/>
    <s v="Oct"/>
    <x v="3"/>
    <s v="Mobile Number"/>
    <x v="3"/>
    <s v="Food"/>
    <n v="6277"/>
    <s v="Pending"/>
  </r>
  <r>
    <s v="UPI0462"/>
    <d v="2026-10-27T00:00:00"/>
    <s v="Oct"/>
    <x v="3"/>
    <s v="QR Code"/>
    <x v="4"/>
    <s v="Recharge"/>
    <n v="2596"/>
    <s v="Success"/>
  </r>
  <r>
    <s v="UPI0038"/>
    <d v="2026-10-27T00:00:00"/>
    <s v="Oct"/>
    <x v="0"/>
    <s v="UPI PIN"/>
    <x v="1"/>
    <s v="Shopping"/>
    <n v="8288"/>
    <s v="Succ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54CE8-2912-4FDE-8556-A587838D0C7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9:B28" firstHeaderRow="1" firstDataRow="1" firstDataCol="1"/>
  <pivotFields count="9">
    <pivotField dataField="1" showAll="0"/>
    <pivotField numFmtId="165"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9">
        <item x="5"/>
        <item x="0"/>
        <item x="7"/>
        <item x="3"/>
        <item x="6"/>
        <item x="1"/>
        <item x="4"/>
        <item x="2"/>
        <item t="default"/>
      </items>
    </pivotField>
    <pivotField showAll="0"/>
    <pivotField numFmtId="166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ransaction_ID" fld="0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ADC89-7C50-4AFF-8EDF-07736E2F616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dataField="1" showAll="0"/>
    <pivotField numFmtId="165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numFmtId="166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pane ySplit="1" topLeftCell="A484" activePane="bottomLeft" state="frozen"/>
      <selection pane="bottomLeft" activeCell="B488" sqref="B488"/>
    </sheetView>
  </sheetViews>
  <sheetFormatPr defaultRowHeight="14.5" x14ac:dyDescent="0.35"/>
  <cols>
    <col min="1" max="1" width="16" customWidth="1"/>
    <col min="2" max="2" width="12" customWidth="1"/>
    <col min="3" max="3" width="7" customWidth="1"/>
    <col min="4" max="4" width="12" customWidth="1"/>
    <col min="5" max="5" width="16" customWidth="1"/>
    <col min="6" max="6" width="11" customWidth="1"/>
    <col min="7" max="8" width="12" customWidth="1"/>
    <col min="9" max="9" width="9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46023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5830</v>
      </c>
      <c r="I2" t="s">
        <v>15</v>
      </c>
    </row>
    <row r="3" spans="1:9" x14ac:dyDescent="0.35">
      <c r="A3" t="s">
        <v>16</v>
      </c>
      <c r="B3" s="2">
        <v>46023</v>
      </c>
      <c r="C3" t="s">
        <v>10</v>
      </c>
      <c r="D3" t="s">
        <v>17</v>
      </c>
      <c r="E3" t="s">
        <v>12</v>
      </c>
      <c r="F3" t="s">
        <v>13</v>
      </c>
      <c r="G3" t="s">
        <v>18</v>
      </c>
      <c r="H3" s="3">
        <v>6373</v>
      </c>
      <c r="I3" t="s">
        <v>19</v>
      </c>
    </row>
    <row r="4" spans="1:9" x14ac:dyDescent="0.35">
      <c r="A4" t="s">
        <v>20</v>
      </c>
      <c r="B4" s="2">
        <v>46025</v>
      </c>
      <c r="C4" t="s">
        <v>10</v>
      </c>
      <c r="D4" t="s">
        <v>11</v>
      </c>
      <c r="E4" t="s">
        <v>21</v>
      </c>
      <c r="F4" t="s">
        <v>22</v>
      </c>
      <c r="G4" t="s">
        <v>14</v>
      </c>
      <c r="H4" s="3">
        <v>3569</v>
      </c>
      <c r="I4" t="s">
        <v>23</v>
      </c>
    </row>
    <row r="5" spans="1:9" x14ac:dyDescent="0.35">
      <c r="A5" t="s">
        <v>24</v>
      </c>
      <c r="B5" s="2">
        <v>46025</v>
      </c>
      <c r="C5" t="s">
        <v>10</v>
      </c>
      <c r="D5" t="s">
        <v>25</v>
      </c>
      <c r="E5" t="s">
        <v>26</v>
      </c>
      <c r="F5" t="s">
        <v>13</v>
      </c>
      <c r="G5" t="s">
        <v>18</v>
      </c>
      <c r="H5" s="3">
        <v>361</v>
      </c>
      <c r="I5" t="s">
        <v>19</v>
      </c>
    </row>
    <row r="6" spans="1:9" x14ac:dyDescent="0.35">
      <c r="A6" t="s">
        <v>27</v>
      </c>
      <c r="B6" s="2">
        <v>46026</v>
      </c>
      <c r="C6" t="s">
        <v>10</v>
      </c>
      <c r="D6" t="s">
        <v>11</v>
      </c>
      <c r="E6" t="s">
        <v>26</v>
      </c>
      <c r="F6" t="s">
        <v>28</v>
      </c>
      <c r="G6" t="s">
        <v>29</v>
      </c>
      <c r="H6" s="3">
        <v>4988</v>
      </c>
      <c r="I6" t="s">
        <v>19</v>
      </c>
    </row>
    <row r="7" spans="1:9" x14ac:dyDescent="0.35">
      <c r="A7" t="s">
        <v>30</v>
      </c>
      <c r="B7" s="2">
        <v>46026</v>
      </c>
      <c r="C7" t="s">
        <v>10</v>
      </c>
      <c r="D7" t="s">
        <v>31</v>
      </c>
      <c r="E7" t="s">
        <v>26</v>
      </c>
      <c r="F7" t="s">
        <v>22</v>
      </c>
      <c r="G7" t="s">
        <v>32</v>
      </c>
      <c r="H7" s="3">
        <v>11647</v>
      </c>
      <c r="I7" t="s">
        <v>19</v>
      </c>
    </row>
    <row r="8" spans="1:9" x14ac:dyDescent="0.35">
      <c r="A8" t="s">
        <v>33</v>
      </c>
      <c r="B8" s="2">
        <v>46027</v>
      </c>
      <c r="C8" t="s">
        <v>10</v>
      </c>
      <c r="D8" t="s">
        <v>31</v>
      </c>
      <c r="E8" t="s">
        <v>34</v>
      </c>
      <c r="F8" t="s">
        <v>35</v>
      </c>
      <c r="G8" t="s">
        <v>29</v>
      </c>
      <c r="H8" s="3">
        <v>10227</v>
      </c>
      <c r="I8" t="s">
        <v>19</v>
      </c>
    </row>
    <row r="9" spans="1:9" x14ac:dyDescent="0.35">
      <c r="A9" t="s">
        <v>36</v>
      </c>
      <c r="B9" s="2">
        <v>46029</v>
      </c>
      <c r="C9" t="s">
        <v>10</v>
      </c>
      <c r="D9" t="s">
        <v>31</v>
      </c>
      <c r="E9" t="s">
        <v>26</v>
      </c>
      <c r="F9" t="s">
        <v>37</v>
      </c>
      <c r="G9" t="s">
        <v>38</v>
      </c>
      <c r="H9" s="3">
        <v>2298</v>
      </c>
      <c r="I9" t="s">
        <v>23</v>
      </c>
    </row>
    <row r="10" spans="1:9" x14ac:dyDescent="0.35">
      <c r="A10" t="s">
        <v>39</v>
      </c>
      <c r="B10" s="2">
        <v>46029</v>
      </c>
      <c r="C10" t="s">
        <v>10</v>
      </c>
      <c r="D10" t="s">
        <v>17</v>
      </c>
      <c r="E10" t="s">
        <v>21</v>
      </c>
      <c r="F10" t="s">
        <v>40</v>
      </c>
      <c r="G10" t="s">
        <v>41</v>
      </c>
      <c r="H10" s="3">
        <v>803</v>
      </c>
      <c r="I10" t="s">
        <v>19</v>
      </c>
    </row>
    <row r="11" spans="1:9" x14ac:dyDescent="0.35">
      <c r="A11" t="s">
        <v>42</v>
      </c>
      <c r="B11" s="2">
        <v>46030</v>
      </c>
      <c r="C11" t="s">
        <v>10</v>
      </c>
      <c r="D11" t="s">
        <v>11</v>
      </c>
      <c r="E11" t="s">
        <v>21</v>
      </c>
      <c r="F11" t="s">
        <v>43</v>
      </c>
      <c r="G11" t="s">
        <v>41</v>
      </c>
      <c r="H11" s="3">
        <v>12993</v>
      </c>
      <c r="I11" t="s">
        <v>19</v>
      </c>
    </row>
    <row r="12" spans="1:9" x14ac:dyDescent="0.35">
      <c r="A12" t="s">
        <v>44</v>
      </c>
      <c r="B12" s="2">
        <v>46031</v>
      </c>
      <c r="C12" t="s">
        <v>10</v>
      </c>
      <c r="D12" t="s">
        <v>17</v>
      </c>
      <c r="E12" t="s">
        <v>26</v>
      </c>
      <c r="F12" t="s">
        <v>22</v>
      </c>
      <c r="G12" t="s">
        <v>14</v>
      </c>
      <c r="H12" s="3">
        <v>13372</v>
      </c>
      <c r="I12" t="s">
        <v>15</v>
      </c>
    </row>
    <row r="13" spans="1:9" x14ac:dyDescent="0.35">
      <c r="A13" t="s">
        <v>45</v>
      </c>
      <c r="B13" s="2">
        <v>46031</v>
      </c>
      <c r="C13" t="s">
        <v>10</v>
      </c>
      <c r="D13" t="s">
        <v>11</v>
      </c>
      <c r="E13" t="s">
        <v>12</v>
      </c>
      <c r="F13" t="s">
        <v>37</v>
      </c>
      <c r="G13" t="s">
        <v>32</v>
      </c>
      <c r="H13" s="3">
        <v>14101</v>
      </c>
      <c r="I13" t="s">
        <v>19</v>
      </c>
    </row>
    <row r="14" spans="1:9" x14ac:dyDescent="0.35">
      <c r="A14" t="s">
        <v>46</v>
      </c>
      <c r="B14" s="2">
        <v>46032</v>
      </c>
      <c r="C14" t="s">
        <v>10</v>
      </c>
      <c r="D14" t="s">
        <v>25</v>
      </c>
      <c r="E14" t="s">
        <v>26</v>
      </c>
      <c r="F14" t="s">
        <v>43</v>
      </c>
      <c r="G14" t="s">
        <v>47</v>
      </c>
      <c r="H14" s="3">
        <v>5997</v>
      </c>
      <c r="I14" t="s">
        <v>19</v>
      </c>
    </row>
    <row r="15" spans="1:9" x14ac:dyDescent="0.35">
      <c r="A15" t="s">
        <v>48</v>
      </c>
      <c r="B15" s="2">
        <v>46033</v>
      </c>
      <c r="C15" t="s">
        <v>10</v>
      </c>
      <c r="D15" t="s">
        <v>17</v>
      </c>
      <c r="E15" t="s">
        <v>21</v>
      </c>
      <c r="F15" t="s">
        <v>22</v>
      </c>
      <c r="G15" t="s">
        <v>18</v>
      </c>
      <c r="H15" s="3">
        <v>2865</v>
      </c>
      <c r="I15" t="s">
        <v>19</v>
      </c>
    </row>
    <row r="16" spans="1:9" x14ac:dyDescent="0.35">
      <c r="A16" t="s">
        <v>49</v>
      </c>
      <c r="B16" s="2">
        <v>46033</v>
      </c>
      <c r="C16" t="s">
        <v>10</v>
      </c>
      <c r="D16" t="s">
        <v>31</v>
      </c>
      <c r="E16" t="s">
        <v>21</v>
      </c>
      <c r="F16" t="s">
        <v>35</v>
      </c>
      <c r="G16" t="s">
        <v>41</v>
      </c>
      <c r="H16" s="3">
        <v>7881</v>
      </c>
      <c r="I16" t="s">
        <v>15</v>
      </c>
    </row>
    <row r="17" spans="1:9" x14ac:dyDescent="0.35">
      <c r="A17" t="s">
        <v>50</v>
      </c>
      <c r="B17" s="2">
        <v>46034</v>
      </c>
      <c r="C17" t="s">
        <v>10</v>
      </c>
      <c r="D17" t="s">
        <v>17</v>
      </c>
      <c r="E17" t="s">
        <v>26</v>
      </c>
      <c r="F17" t="s">
        <v>35</v>
      </c>
      <c r="G17" t="s">
        <v>38</v>
      </c>
      <c r="H17" s="3">
        <v>6492</v>
      </c>
      <c r="I17" t="s">
        <v>19</v>
      </c>
    </row>
    <row r="18" spans="1:9" x14ac:dyDescent="0.35">
      <c r="A18" t="s">
        <v>51</v>
      </c>
      <c r="B18" s="2">
        <v>46035</v>
      </c>
      <c r="C18" t="s">
        <v>10</v>
      </c>
      <c r="D18" t="s">
        <v>25</v>
      </c>
      <c r="E18" t="s">
        <v>34</v>
      </c>
      <c r="F18" t="s">
        <v>52</v>
      </c>
      <c r="G18" t="s">
        <v>32</v>
      </c>
      <c r="H18" s="3">
        <v>8922</v>
      </c>
      <c r="I18" t="s">
        <v>19</v>
      </c>
    </row>
    <row r="19" spans="1:9" x14ac:dyDescent="0.35">
      <c r="A19" t="s">
        <v>53</v>
      </c>
      <c r="B19" s="2">
        <v>46035</v>
      </c>
      <c r="C19" t="s">
        <v>10</v>
      </c>
      <c r="D19" t="s">
        <v>17</v>
      </c>
      <c r="E19" t="s">
        <v>34</v>
      </c>
      <c r="F19" t="s">
        <v>37</v>
      </c>
      <c r="G19" t="s">
        <v>18</v>
      </c>
      <c r="H19" s="3">
        <v>4061</v>
      </c>
      <c r="I19" t="s">
        <v>19</v>
      </c>
    </row>
    <row r="20" spans="1:9" x14ac:dyDescent="0.35">
      <c r="A20" t="s">
        <v>54</v>
      </c>
      <c r="B20" s="2">
        <v>46036</v>
      </c>
      <c r="C20" t="s">
        <v>10</v>
      </c>
      <c r="D20" t="s">
        <v>25</v>
      </c>
      <c r="E20" t="s">
        <v>26</v>
      </c>
      <c r="F20" t="s">
        <v>43</v>
      </c>
      <c r="G20" t="s">
        <v>55</v>
      </c>
      <c r="H20" s="3">
        <v>7825</v>
      </c>
      <c r="I20" t="s">
        <v>15</v>
      </c>
    </row>
    <row r="21" spans="1:9" x14ac:dyDescent="0.35">
      <c r="A21" t="s">
        <v>56</v>
      </c>
      <c r="B21" s="2">
        <v>46037</v>
      </c>
      <c r="C21" t="s">
        <v>10</v>
      </c>
      <c r="D21" t="s">
        <v>11</v>
      </c>
      <c r="E21" t="s">
        <v>26</v>
      </c>
      <c r="F21" t="s">
        <v>28</v>
      </c>
      <c r="G21" t="s">
        <v>32</v>
      </c>
      <c r="H21" s="3">
        <v>10025</v>
      </c>
      <c r="I21" t="s">
        <v>23</v>
      </c>
    </row>
    <row r="22" spans="1:9" x14ac:dyDescent="0.35">
      <c r="A22" t="s">
        <v>57</v>
      </c>
      <c r="B22" s="2">
        <v>46037</v>
      </c>
      <c r="C22" t="s">
        <v>10</v>
      </c>
      <c r="D22" t="s">
        <v>25</v>
      </c>
      <c r="E22" t="s">
        <v>26</v>
      </c>
      <c r="F22" t="s">
        <v>40</v>
      </c>
      <c r="G22" t="s">
        <v>32</v>
      </c>
      <c r="H22" s="3">
        <v>794</v>
      </c>
      <c r="I22" t="s">
        <v>19</v>
      </c>
    </row>
    <row r="23" spans="1:9" x14ac:dyDescent="0.35">
      <c r="A23" t="s">
        <v>58</v>
      </c>
      <c r="B23" s="2">
        <v>46037</v>
      </c>
      <c r="C23" t="s">
        <v>10</v>
      </c>
      <c r="D23" t="s">
        <v>11</v>
      </c>
      <c r="E23" t="s">
        <v>12</v>
      </c>
      <c r="F23" t="s">
        <v>40</v>
      </c>
      <c r="G23" t="s">
        <v>18</v>
      </c>
      <c r="H23" s="3">
        <v>10111</v>
      </c>
      <c r="I23" t="s">
        <v>23</v>
      </c>
    </row>
    <row r="24" spans="1:9" x14ac:dyDescent="0.35">
      <c r="A24" t="s">
        <v>59</v>
      </c>
      <c r="B24" s="2">
        <v>46038</v>
      </c>
      <c r="C24" t="s">
        <v>10</v>
      </c>
      <c r="D24" t="s">
        <v>17</v>
      </c>
      <c r="E24" t="s">
        <v>26</v>
      </c>
      <c r="F24" t="s">
        <v>22</v>
      </c>
      <c r="G24" t="s">
        <v>55</v>
      </c>
      <c r="H24" s="3">
        <v>14051</v>
      </c>
      <c r="I24" t="s">
        <v>19</v>
      </c>
    </row>
    <row r="25" spans="1:9" x14ac:dyDescent="0.35">
      <c r="A25" t="s">
        <v>60</v>
      </c>
      <c r="B25" s="2">
        <v>46040</v>
      </c>
      <c r="C25" t="s">
        <v>10</v>
      </c>
      <c r="D25" t="s">
        <v>11</v>
      </c>
      <c r="E25" t="s">
        <v>21</v>
      </c>
      <c r="F25" t="s">
        <v>52</v>
      </c>
      <c r="G25" t="s">
        <v>18</v>
      </c>
      <c r="H25" s="3">
        <v>1151</v>
      </c>
      <c r="I25" t="s">
        <v>19</v>
      </c>
    </row>
    <row r="26" spans="1:9" x14ac:dyDescent="0.35">
      <c r="A26" t="s">
        <v>61</v>
      </c>
      <c r="B26" s="2">
        <v>46041</v>
      </c>
      <c r="C26" t="s">
        <v>10</v>
      </c>
      <c r="D26" t="s">
        <v>25</v>
      </c>
      <c r="E26" t="s">
        <v>34</v>
      </c>
      <c r="F26" t="s">
        <v>37</v>
      </c>
      <c r="G26" t="s">
        <v>14</v>
      </c>
      <c r="H26" s="3">
        <v>8279</v>
      </c>
      <c r="I26" t="s">
        <v>19</v>
      </c>
    </row>
    <row r="27" spans="1:9" x14ac:dyDescent="0.35">
      <c r="A27" t="s">
        <v>62</v>
      </c>
      <c r="B27" s="2">
        <v>46042</v>
      </c>
      <c r="C27" t="s">
        <v>10</v>
      </c>
      <c r="D27" t="s">
        <v>17</v>
      </c>
      <c r="E27" t="s">
        <v>26</v>
      </c>
      <c r="F27" t="s">
        <v>37</v>
      </c>
      <c r="G27" t="s">
        <v>55</v>
      </c>
      <c r="H27" s="3">
        <v>13644</v>
      </c>
      <c r="I27" t="s">
        <v>19</v>
      </c>
    </row>
    <row r="28" spans="1:9" x14ac:dyDescent="0.35">
      <c r="A28" t="s">
        <v>63</v>
      </c>
      <c r="B28" s="2">
        <v>46043</v>
      </c>
      <c r="C28" t="s">
        <v>10</v>
      </c>
      <c r="D28" t="s">
        <v>25</v>
      </c>
      <c r="E28" t="s">
        <v>26</v>
      </c>
      <c r="F28" t="s">
        <v>22</v>
      </c>
      <c r="G28" t="s">
        <v>47</v>
      </c>
      <c r="H28" s="3">
        <v>13745</v>
      </c>
      <c r="I28" t="s">
        <v>19</v>
      </c>
    </row>
    <row r="29" spans="1:9" x14ac:dyDescent="0.35">
      <c r="A29" t="s">
        <v>64</v>
      </c>
      <c r="B29" s="2">
        <v>46044</v>
      </c>
      <c r="C29" t="s">
        <v>10</v>
      </c>
      <c r="D29" t="s">
        <v>17</v>
      </c>
      <c r="E29" t="s">
        <v>34</v>
      </c>
      <c r="F29" t="s">
        <v>52</v>
      </c>
      <c r="G29" t="s">
        <v>18</v>
      </c>
      <c r="H29" s="3">
        <v>357</v>
      </c>
      <c r="I29" t="s">
        <v>19</v>
      </c>
    </row>
    <row r="30" spans="1:9" x14ac:dyDescent="0.35">
      <c r="A30" t="s">
        <v>65</v>
      </c>
      <c r="B30" s="2">
        <v>46045</v>
      </c>
      <c r="C30" t="s">
        <v>10</v>
      </c>
      <c r="D30" t="s">
        <v>31</v>
      </c>
      <c r="E30" t="s">
        <v>21</v>
      </c>
      <c r="F30" t="s">
        <v>28</v>
      </c>
      <c r="G30" t="s">
        <v>18</v>
      </c>
      <c r="H30" s="3">
        <v>14562</v>
      </c>
      <c r="I30" t="s">
        <v>19</v>
      </c>
    </row>
    <row r="31" spans="1:9" x14ac:dyDescent="0.35">
      <c r="A31" t="s">
        <v>66</v>
      </c>
      <c r="B31" s="2">
        <v>46045</v>
      </c>
      <c r="C31" t="s">
        <v>10</v>
      </c>
      <c r="D31" t="s">
        <v>31</v>
      </c>
      <c r="E31" t="s">
        <v>21</v>
      </c>
      <c r="F31" t="s">
        <v>22</v>
      </c>
      <c r="G31" t="s">
        <v>41</v>
      </c>
      <c r="H31" s="3">
        <v>1935</v>
      </c>
      <c r="I31" t="s">
        <v>23</v>
      </c>
    </row>
    <row r="32" spans="1:9" x14ac:dyDescent="0.35">
      <c r="A32" t="s">
        <v>67</v>
      </c>
      <c r="B32" s="2">
        <v>46046</v>
      </c>
      <c r="C32" t="s">
        <v>10</v>
      </c>
      <c r="D32" t="s">
        <v>11</v>
      </c>
      <c r="E32" t="s">
        <v>21</v>
      </c>
      <c r="F32" t="s">
        <v>28</v>
      </c>
      <c r="G32" t="s">
        <v>14</v>
      </c>
      <c r="H32" s="3">
        <v>888</v>
      </c>
      <c r="I32" t="s">
        <v>19</v>
      </c>
    </row>
    <row r="33" spans="1:9" x14ac:dyDescent="0.35">
      <c r="A33" t="s">
        <v>68</v>
      </c>
      <c r="B33" s="2">
        <v>46047</v>
      </c>
      <c r="C33" t="s">
        <v>10</v>
      </c>
      <c r="D33" t="s">
        <v>11</v>
      </c>
      <c r="E33" t="s">
        <v>12</v>
      </c>
      <c r="F33" t="s">
        <v>22</v>
      </c>
      <c r="G33" t="s">
        <v>18</v>
      </c>
      <c r="H33" s="3">
        <v>2554</v>
      </c>
      <c r="I33" t="s">
        <v>19</v>
      </c>
    </row>
    <row r="34" spans="1:9" x14ac:dyDescent="0.35">
      <c r="A34" t="s">
        <v>69</v>
      </c>
      <c r="B34" s="2">
        <v>46047</v>
      </c>
      <c r="C34" t="s">
        <v>10</v>
      </c>
      <c r="D34" t="s">
        <v>25</v>
      </c>
      <c r="E34" t="s">
        <v>34</v>
      </c>
      <c r="F34" t="s">
        <v>52</v>
      </c>
      <c r="G34" t="s">
        <v>18</v>
      </c>
      <c r="H34" s="3">
        <v>5488</v>
      </c>
      <c r="I34" t="s">
        <v>23</v>
      </c>
    </row>
    <row r="35" spans="1:9" x14ac:dyDescent="0.35">
      <c r="A35" t="s">
        <v>70</v>
      </c>
      <c r="B35" s="2">
        <v>46047</v>
      </c>
      <c r="C35" t="s">
        <v>10</v>
      </c>
      <c r="D35" t="s">
        <v>17</v>
      </c>
      <c r="E35" t="s">
        <v>12</v>
      </c>
      <c r="F35" t="s">
        <v>28</v>
      </c>
      <c r="G35" t="s">
        <v>32</v>
      </c>
      <c r="H35" s="3">
        <v>4659</v>
      </c>
      <c r="I35" t="s">
        <v>19</v>
      </c>
    </row>
    <row r="36" spans="1:9" x14ac:dyDescent="0.35">
      <c r="A36" t="s">
        <v>71</v>
      </c>
      <c r="B36" s="2">
        <v>46048</v>
      </c>
      <c r="C36" t="s">
        <v>10</v>
      </c>
      <c r="D36" t="s">
        <v>11</v>
      </c>
      <c r="E36" t="s">
        <v>26</v>
      </c>
      <c r="F36" t="s">
        <v>43</v>
      </c>
      <c r="G36" t="s">
        <v>14</v>
      </c>
      <c r="H36" s="3">
        <v>14880</v>
      </c>
      <c r="I36" t="s">
        <v>23</v>
      </c>
    </row>
    <row r="37" spans="1:9" x14ac:dyDescent="0.35">
      <c r="A37" t="s">
        <v>72</v>
      </c>
      <c r="B37" s="2">
        <v>46048</v>
      </c>
      <c r="C37" t="s">
        <v>10</v>
      </c>
      <c r="D37" t="s">
        <v>31</v>
      </c>
      <c r="E37" t="s">
        <v>34</v>
      </c>
      <c r="F37" t="s">
        <v>35</v>
      </c>
      <c r="G37" t="s">
        <v>41</v>
      </c>
      <c r="H37" s="3">
        <v>8906</v>
      </c>
      <c r="I37" t="s">
        <v>23</v>
      </c>
    </row>
    <row r="38" spans="1:9" x14ac:dyDescent="0.35">
      <c r="A38" t="s">
        <v>73</v>
      </c>
      <c r="B38" s="2">
        <v>46049</v>
      </c>
      <c r="C38" t="s">
        <v>10</v>
      </c>
      <c r="D38" t="s">
        <v>31</v>
      </c>
      <c r="E38" t="s">
        <v>34</v>
      </c>
      <c r="F38" t="s">
        <v>35</v>
      </c>
      <c r="G38" t="s">
        <v>47</v>
      </c>
      <c r="H38" s="3">
        <v>6229</v>
      </c>
      <c r="I38" t="s">
        <v>19</v>
      </c>
    </row>
    <row r="39" spans="1:9" x14ac:dyDescent="0.35">
      <c r="A39" t="s">
        <v>74</v>
      </c>
      <c r="B39" s="2">
        <v>46049</v>
      </c>
      <c r="C39" t="s">
        <v>10</v>
      </c>
      <c r="D39" t="s">
        <v>17</v>
      </c>
      <c r="E39" t="s">
        <v>21</v>
      </c>
      <c r="F39" t="s">
        <v>43</v>
      </c>
      <c r="G39" t="s">
        <v>32</v>
      </c>
      <c r="H39" s="3">
        <v>10442</v>
      </c>
      <c r="I39" t="s">
        <v>19</v>
      </c>
    </row>
    <row r="40" spans="1:9" x14ac:dyDescent="0.35">
      <c r="A40" t="s">
        <v>75</v>
      </c>
      <c r="B40" s="2">
        <v>46049</v>
      </c>
      <c r="C40" t="s">
        <v>10</v>
      </c>
      <c r="D40" t="s">
        <v>25</v>
      </c>
      <c r="E40" t="s">
        <v>26</v>
      </c>
      <c r="F40" t="s">
        <v>40</v>
      </c>
      <c r="G40" t="s">
        <v>14</v>
      </c>
      <c r="H40" s="3">
        <v>10299</v>
      </c>
      <c r="I40" t="s">
        <v>19</v>
      </c>
    </row>
    <row r="41" spans="1:9" x14ac:dyDescent="0.35">
      <c r="A41" t="s">
        <v>76</v>
      </c>
      <c r="B41" s="2">
        <v>46049</v>
      </c>
      <c r="C41" t="s">
        <v>10</v>
      </c>
      <c r="D41" t="s">
        <v>25</v>
      </c>
      <c r="E41" t="s">
        <v>34</v>
      </c>
      <c r="F41" t="s">
        <v>22</v>
      </c>
      <c r="G41" t="s">
        <v>29</v>
      </c>
      <c r="H41" s="3">
        <v>7923</v>
      </c>
      <c r="I41" t="s">
        <v>23</v>
      </c>
    </row>
    <row r="42" spans="1:9" x14ac:dyDescent="0.35">
      <c r="A42" t="s">
        <v>77</v>
      </c>
      <c r="B42" s="2">
        <v>46051</v>
      </c>
      <c r="C42" t="s">
        <v>10</v>
      </c>
      <c r="D42" t="s">
        <v>25</v>
      </c>
      <c r="E42" t="s">
        <v>12</v>
      </c>
      <c r="F42" t="s">
        <v>13</v>
      </c>
      <c r="G42" t="s">
        <v>47</v>
      </c>
      <c r="H42" s="3">
        <v>5923</v>
      </c>
      <c r="I42" t="s">
        <v>19</v>
      </c>
    </row>
    <row r="43" spans="1:9" x14ac:dyDescent="0.35">
      <c r="A43" t="s">
        <v>78</v>
      </c>
      <c r="B43" s="2">
        <v>46052</v>
      </c>
      <c r="C43" t="s">
        <v>10</v>
      </c>
      <c r="D43" t="s">
        <v>25</v>
      </c>
      <c r="E43" t="s">
        <v>34</v>
      </c>
      <c r="F43" t="s">
        <v>22</v>
      </c>
      <c r="G43" t="s">
        <v>18</v>
      </c>
      <c r="H43" s="3">
        <v>13676</v>
      </c>
      <c r="I43" t="s">
        <v>19</v>
      </c>
    </row>
    <row r="44" spans="1:9" x14ac:dyDescent="0.35">
      <c r="A44" t="s">
        <v>79</v>
      </c>
      <c r="B44" s="2">
        <v>46052</v>
      </c>
      <c r="C44" t="s">
        <v>10</v>
      </c>
      <c r="D44" t="s">
        <v>25</v>
      </c>
      <c r="E44" t="s">
        <v>26</v>
      </c>
      <c r="F44" t="s">
        <v>13</v>
      </c>
      <c r="G44" t="s">
        <v>14</v>
      </c>
      <c r="H44" s="3">
        <v>8724</v>
      </c>
      <c r="I44" t="s">
        <v>19</v>
      </c>
    </row>
    <row r="45" spans="1:9" x14ac:dyDescent="0.35">
      <c r="A45" t="s">
        <v>80</v>
      </c>
      <c r="B45" s="2">
        <v>46053</v>
      </c>
      <c r="C45" t="s">
        <v>10</v>
      </c>
      <c r="D45" t="s">
        <v>17</v>
      </c>
      <c r="E45" t="s">
        <v>12</v>
      </c>
      <c r="F45" t="s">
        <v>43</v>
      </c>
      <c r="G45" t="s">
        <v>32</v>
      </c>
      <c r="H45" s="3">
        <v>10498</v>
      </c>
      <c r="I45" t="s">
        <v>15</v>
      </c>
    </row>
    <row r="46" spans="1:9" x14ac:dyDescent="0.35">
      <c r="A46" t="s">
        <v>81</v>
      </c>
      <c r="B46" s="2">
        <v>46054</v>
      </c>
      <c r="C46" t="s">
        <v>82</v>
      </c>
      <c r="D46" t="s">
        <v>17</v>
      </c>
      <c r="E46" t="s">
        <v>12</v>
      </c>
      <c r="F46" t="s">
        <v>43</v>
      </c>
      <c r="G46" t="s">
        <v>18</v>
      </c>
      <c r="H46" s="3">
        <v>13696</v>
      </c>
      <c r="I46" t="s">
        <v>19</v>
      </c>
    </row>
    <row r="47" spans="1:9" x14ac:dyDescent="0.35">
      <c r="A47" t="s">
        <v>83</v>
      </c>
      <c r="B47" s="2">
        <v>46054</v>
      </c>
      <c r="C47" t="s">
        <v>82</v>
      </c>
      <c r="D47" t="s">
        <v>11</v>
      </c>
      <c r="E47" t="s">
        <v>34</v>
      </c>
      <c r="F47" t="s">
        <v>37</v>
      </c>
      <c r="G47" t="s">
        <v>14</v>
      </c>
      <c r="H47" s="3">
        <v>4570</v>
      </c>
      <c r="I47" t="s">
        <v>19</v>
      </c>
    </row>
    <row r="48" spans="1:9" x14ac:dyDescent="0.35">
      <c r="A48" t="s">
        <v>84</v>
      </c>
      <c r="B48" s="2">
        <v>46054</v>
      </c>
      <c r="C48" t="s">
        <v>82</v>
      </c>
      <c r="D48" t="s">
        <v>11</v>
      </c>
      <c r="E48" t="s">
        <v>12</v>
      </c>
      <c r="F48" t="s">
        <v>37</v>
      </c>
      <c r="G48" t="s">
        <v>32</v>
      </c>
      <c r="H48" s="3">
        <v>9743</v>
      </c>
      <c r="I48" t="s">
        <v>15</v>
      </c>
    </row>
    <row r="49" spans="1:9" x14ac:dyDescent="0.35">
      <c r="A49" t="s">
        <v>85</v>
      </c>
      <c r="B49" s="2">
        <v>46055</v>
      </c>
      <c r="C49" t="s">
        <v>82</v>
      </c>
      <c r="D49" t="s">
        <v>25</v>
      </c>
      <c r="E49" t="s">
        <v>12</v>
      </c>
      <c r="F49" t="s">
        <v>28</v>
      </c>
      <c r="G49" t="s">
        <v>55</v>
      </c>
      <c r="H49" s="3">
        <v>7171</v>
      </c>
      <c r="I49" t="s">
        <v>19</v>
      </c>
    </row>
    <row r="50" spans="1:9" x14ac:dyDescent="0.35">
      <c r="A50" t="s">
        <v>86</v>
      </c>
      <c r="B50" s="2">
        <v>46056</v>
      </c>
      <c r="C50" t="s">
        <v>82</v>
      </c>
      <c r="D50" t="s">
        <v>31</v>
      </c>
      <c r="E50" t="s">
        <v>34</v>
      </c>
      <c r="F50" t="s">
        <v>13</v>
      </c>
      <c r="G50" t="s">
        <v>41</v>
      </c>
      <c r="H50" s="3">
        <v>8106</v>
      </c>
      <c r="I50" t="s">
        <v>19</v>
      </c>
    </row>
    <row r="51" spans="1:9" x14ac:dyDescent="0.35">
      <c r="A51" t="s">
        <v>87</v>
      </c>
      <c r="B51" s="2">
        <v>46056</v>
      </c>
      <c r="C51" t="s">
        <v>82</v>
      </c>
      <c r="D51" t="s">
        <v>17</v>
      </c>
      <c r="E51" t="s">
        <v>26</v>
      </c>
      <c r="F51" t="s">
        <v>22</v>
      </c>
      <c r="G51" t="s">
        <v>38</v>
      </c>
      <c r="H51" s="3">
        <v>14836</v>
      </c>
      <c r="I51" t="s">
        <v>19</v>
      </c>
    </row>
    <row r="52" spans="1:9" x14ac:dyDescent="0.35">
      <c r="A52" t="s">
        <v>88</v>
      </c>
      <c r="B52" s="2">
        <v>46057</v>
      </c>
      <c r="C52" t="s">
        <v>82</v>
      </c>
      <c r="D52" t="s">
        <v>11</v>
      </c>
      <c r="E52" t="s">
        <v>34</v>
      </c>
      <c r="F52" t="s">
        <v>43</v>
      </c>
      <c r="G52" t="s">
        <v>18</v>
      </c>
      <c r="H52" s="3">
        <v>4345</v>
      </c>
      <c r="I52" t="s">
        <v>19</v>
      </c>
    </row>
    <row r="53" spans="1:9" x14ac:dyDescent="0.35">
      <c r="A53" t="s">
        <v>89</v>
      </c>
      <c r="B53" s="2">
        <v>46057</v>
      </c>
      <c r="C53" t="s">
        <v>82</v>
      </c>
      <c r="D53" t="s">
        <v>31</v>
      </c>
      <c r="E53" t="s">
        <v>34</v>
      </c>
      <c r="F53" t="s">
        <v>40</v>
      </c>
      <c r="G53" t="s">
        <v>14</v>
      </c>
      <c r="H53" s="3">
        <v>13677</v>
      </c>
      <c r="I53" t="s">
        <v>19</v>
      </c>
    </row>
    <row r="54" spans="1:9" x14ac:dyDescent="0.35">
      <c r="A54" t="s">
        <v>90</v>
      </c>
      <c r="B54" s="2">
        <v>46057</v>
      </c>
      <c r="C54" t="s">
        <v>82</v>
      </c>
      <c r="D54" t="s">
        <v>31</v>
      </c>
      <c r="E54" t="s">
        <v>26</v>
      </c>
      <c r="F54" t="s">
        <v>37</v>
      </c>
      <c r="G54" t="s">
        <v>38</v>
      </c>
      <c r="H54" s="3">
        <v>2524</v>
      </c>
      <c r="I54" t="s">
        <v>23</v>
      </c>
    </row>
    <row r="55" spans="1:9" x14ac:dyDescent="0.35">
      <c r="A55" t="s">
        <v>91</v>
      </c>
      <c r="B55" s="2">
        <v>46058</v>
      </c>
      <c r="C55" t="s">
        <v>82</v>
      </c>
      <c r="D55" t="s">
        <v>11</v>
      </c>
      <c r="E55" t="s">
        <v>21</v>
      </c>
      <c r="F55" t="s">
        <v>22</v>
      </c>
      <c r="G55" t="s">
        <v>47</v>
      </c>
      <c r="H55" s="3">
        <v>10884</v>
      </c>
      <c r="I55" t="s">
        <v>19</v>
      </c>
    </row>
    <row r="56" spans="1:9" x14ac:dyDescent="0.35">
      <c r="A56" t="s">
        <v>92</v>
      </c>
      <c r="B56" s="2">
        <v>46058</v>
      </c>
      <c r="C56" t="s">
        <v>82</v>
      </c>
      <c r="D56" t="s">
        <v>31</v>
      </c>
      <c r="E56" t="s">
        <v>26</v>
      </c>
      <c r="F56" t="s">
        <v>35</v>
      </c>
      <c r="G56" t="s">
        <v>32</v>
      </c>
      <c r="H56" s="3">
        <v>709</v>
      </c>
      <c r="I56" t="s">
        <v>23</v>
      </c>
    </row>
    <row r="57" spans="1:9" x14ac:dyDescent="0.35">
      <c r="A57" t="s">
        <v>93</v>
      </c>
      <c r="B57" s="2">
        <v>46058</v>
      </c>
      <c r="C57" t="s">
        <v>82</v>
      </c>
      <c r="D57" t="s">
        <v>17</v>
      </c>
      <c r="E57" t="s">
        <v>21</v>
      </c>
      <c r="F57" t="s">
        <v>43</v>
      </c>
      <c r="G57" t="s">
        <v>14</v>
      </c>
      <c r="H57" s="3">
        <v>5803</v>
      </c>
      <c r="I57" t="s">
        <v>19</v>
      </c>
    </row>
    <row r="58" spans="1:9" x14ac:dyDescent="0.35">
      <c r="A58" t="s">
        <v>94</v>
      </c>
      <c r="B58" s="2">
        <v>46058</v>
      </c>
      <c r="C58" t="s">
        <v>82</v>
      </c>
      <c r="D58" t="s">
        <v>11</v>
      </c>
      <c r="E58" t="s">
        <v>12</v>
      </c>
      <c r="F58" t="s">
        <v>22</v>
      </c>
      <c r="G58" t="s">
        <v>47</v>
      </c>
      <c r="H58" s="3">
        <v>1163</v>
      </c>
      <c r="I58" t="s">
        <v>15</v>
      </c>
    </row>
    <row r="59" spans="1:9" x14ac:dyDescent="0.35">
      <c r="A59" t="s">
        <v>95</v>
      </c>
      <c r="B59" s="2">
        <v>46058</v>
      </c>
      <c r="C59" t="s">
        <v>82</v>
      </c>
      <c r="D59" t="s">
        <v>25</v>
      </c>
      <c r="E59" t="s">
        <v>12</v>
      </c>
      <c r="F59" t="s">
        <v>13</v>
      </c>
      <c r="G59" t="s">
        <v>41</v>
      </c>
      <c r="H59" s="3">
        <v>569</v>
      </c>
      <c r="I59" t="s">
        <v>19</v>
      </c>
    </row>
    <row r="60" spans="1:9" x14ac:dyDescent="0.35">
      <c r="A60" t="s">
        <v>96</v>
      </c>
      <c r="B60" s="2">
        <v>46058</v>
      </c>
      <c r="C60" t="s">
        <v>82</v>
      </c>
      <c r="D60" t="s">
        <v>17</v>
      </c>
      <c r="E60" t="s">
        <v>21</v>
      </c>
      <c r="F60" t="s">
        <v>28</v>
      </c>
      <c r="G60" t="s">
        <v>32</v>
      </c>
      <c r="H60" s="3">
        <v>12709</v>
      </c>
      <c r="I60" t="s">
        <v>19</v>
      </c>
    </row>
    <row r="61" spans="1:9" x14ac:dyDescent="0.35">
      <c r="A61" t="s">
        <v>97</v>
      </c>
      <c r="B61" s="2">
        <v>46059</v>
      </c>
      <c r="C61" t="s">
        <v>82</v>
      </c>
      <c r="D61" t="s">
        <v>25</v>
      </c>
      <c r="E61" t="s">
        <v>21</v>
      </c>
      <c r="F61" t="s">
        <v>37</v>
      </c>
      <c r="G61" t="s">
        <v>14</v>
      </c>
      <c r="H61" s="3">
        <v>2768</v>
      </c>
      <c r="I61" t="s">
        <v>19</v>
      </c>
    </row>
    <row r="62" spans="1:9" x14ac:dyDescent="0.35">
      <c r="A62" t="s">
        <v>98</v>
      </c>
      <c r="B62" s="2">
        <v>46060</v>
      </c>
      <c r="C62" t="s">
        <v>82</v>
      </c>
      <c r="D62" t="s">
        <v>25</v>
      </c>
      <c r="E62" t="s">
        <v>26</v>
      </c>
      <c r="F62" t="s">
        <v>13</v>
      </c>
      <c r="G62" t="s">
        <v>41</v>
      </c>
      <c r="H62" s="3">
        <v>7682</v>
      </c>
      <c r="I62" t="s">
        <v>19</v>
      </c>
    </row>
    <row r="63" spans="1:9" x14ac:dyDescent="0.35">
      <c r="A63" t="s">
        <v>99</v>
      </c>
      <c r="B63" s="2">
        <v>46061</v>
      </c>
      <c r="C63" t="s">
        <v>82</v>
      </c>
      <c r="D63" t="s">
        <v>31</v>
      </c>
      <c r="E63" t="s">
        <v>21</v>
      </c>
      <c r="F63" t="s">
        <v>37</v>
      </c>
      <c r="G63" t="s">
        <v>32</v>
      </c>
      <c r="H63" s="3">
        <v>14764</v>
      </c>
      <c r="I63" t="s">
        <v>15</v>
      </c>
    </row>
    <row r="64" spans="1:9" x14ac:dyDescent="0.35">
      <c r="A64" t="s">
        <v>100</v>
      </c>
      <c r="B64" s="2">
        <v>46061</v>
      </c>
      <c r="C64" t="s">
        <v>82</v>
      </c>
      <c r="D64" t="s">
        <v>31</v>
      </c>
      <c r="E64" t="s">
        <v>12</v>
      </c>
      <c r="F64" t="s">
        <v>13</v>
      </c>
      <c r="G64" t="s">
        <v>47</v>
      </c>
      <c r="H64" s="3">
        <v>844</v>
      </c>
      <c r="I64" t="s">
        <v>23</v>
      </c>
    </row>
    <row r="65" spans="1:9" x14ac:dyDescent="0.35">
      <c r="A65" t="s">
        <v>101</v>
      </c>
      <c r="B65" s="2">
        <v>46062</v>
      </c>
      <c r="C65" t="s">
        <v>82</v>
      </c>
      <c r="D65" t="s">
        <v>11</v>
      </c>
      <c r="E65" t="s">
        <v>21</v>
      </c>
      <c r="F65" t="s">
        <v>52</v>
      </c>
      <c r="G65" t="s">
        <v>38</v>
      </c>
      <c r="H65" s="3">
        <v>4731</v>
      </c>
      <c r="I65" t="s">
        <v>23</v>
      </c>
    </row>
    <row r="66" spans="1:9" x14ac:dyDescent="0.35">
      <c r="A66" t="s">
        <v>102</v>
      </c>
      <c r="B66" s="2">
        <v>46062</v>
      </c>
      <c r="C66" t="s">
        <v>82</v>
      </c>
      <c r="D66" t="s">
        <v>11</v>
      </c>
      <c r="E66" t="s">
        <v>12</v>
      </c>
      <c r="F66" t="s">
        <v>35</v>
      </c>
      <c r="G66" t="s">
        <v>55</v>
      </c>
      <c r="H66" s="3">
        <v>4173</v>
      </c>
      <c r="I66" t="s">
        <v>19</v>
      </c>
    </row>
    <row r="67" spans="1:9" x14ac:dyDescent="0.35">
      <c r="A67" t="s">
        <v>103</v>
      </c>
      <c r="B67" s="2">
        <v>46063</v>
      </c>
      <c r="C67" t="s">
        <v>82</v>
      </c>
      <c r="D67" t="s">
        <v>25</v>
      </c>
      <c r="E67" t="s">
        <v>34</v>
      </c>
      <c r="F67" t="s">
        <v>22</v>
      </c>
      <c r="G67" t="s">
        <v>18</v>
      </c>
      <c r="H67" s="3">
        <v>12263</v>
      </c>
      <c r="I67" t="s">
        <v>15</v>
      </c>
    </row>
    <row r="68" spans="1:9" x14ac:dyDescent="0.35">
      <c r="A68" t="s">
        <v>104</v>
      </c>
      <c r="B68" s="2">
        <v>46063</v>
      </c>
      <c r="C68" t="s">
        <v>82</v>
      </c>
      <c r="D68" t="s">
        <v>25</v>
      </c>
      <c r="E68" t="s">
        <v>21</v>
      </c>
      <c r="F68" t="s">
        <v>37</v>
      </c>
      <c r="G68" t="s">
        <v>18</v>
      </c>
      <c r="H68" s="3">
        <v>10878</v>
      </c>
      <c r="I68" t="s">
        <v>19</v>
      </c>
    </row>
    <row r="69" spans="1:9" x14ac:dyDescent="0.35">
      <c r="A69" t="s">
        <v>105</v>
      </c>
      <c r="B69" s="2">
        <v>46063</v>
      </c>
      <c r="C69" t="s">
        <v>82</v>
      </c>
      <c r="D69" t="s">
        <v>11</v>
      </c>
      <c r="E69" t="s">
        <v>21</v>
      </c>
      <c r="F69" t="s">
        <v>40</v>
      </c>
      <c r="G69" t="s">
        <v>14</v>
      </c>
      <c r="H69" s="3">
        <v>3379</v>
      </c>
      <c r="I69" t="s">
        <v>15</v>
      </c>
    </row>
    <row r="70" spans="1:9" x14ac:dyDescent="0.35">
      <c r="A70" t="s">
        <v>106</v>
      </c>
      <c r="B70" s="2">
        <v>46064</v>
      </c>
      <c r="C70" t="s">
        <v>82</v>
      </c>
      <c r="D70" t="s">
        <v>17</v>
      </c>
      <c r="E70" t="s">
        <v>21</v>
      </c>
      <c r="F70" t="s">
        <v>28</v>
      </c>
      <c r="G70" t="s">
        <v>32</v>
      </c>
      <c r="H70" s="3">
        <v>703</v>
      </c>
      <c r="I70" t="s">
        <v>15</v>
      </c>
    </row>
    <row r="71" spans="1:9" x14ac:dyDescent="0.35">
      <c r="A71" t="s">
        <v>107</v>
      </c>
      <c r="B71" s="2">
        <v>46064</v>
      </c>
      <c r="C71" t="s">
        <v>82</v>
      </c>
      <c r="D71" t="s">
        <v>11</v>
      </c>
      <c r="E71" t="s">
        <v>34</v>
      </c>
      <c r="F71" t="s">
        <v>13</v>
      </c>
      <c r="G71" t="s">
        <v>32</v>
      </c>
      <c r="H71" s="3">
        <v>3979</v>
      </c>
      <c r="I71" t="s">
        <v>19</v>
      </c>
    </row>
    <row r="72" spans="1:9" x14ac:dyDescent="0.35">
      <c r="A72" t="s">
        <v>108</v>
      </c>
      <c r="B72" s="2">
        <v>46064</v>
      </c>
      <c r="C72" t="s">
        <v>82</v>
      </c>
      <c r="D72" t="s">
        <v>11</v>
      </c>
      <c r="E72" t="s">
        <v>21</v>
      </c>
      <c r="F72" t="s">
        <v>22</v>
      </c>
      <c r="G72" t="s">
        <v>41</v>
      </c>
      <c r="H72" s="3">
        <v>10892</v>
      </c>
      <c r="I72" t="s">
        <v>23</v>
      </c>
    </row>
    <row r="73" spans="1:9" x14ac:dyDescent="0.35">
      <c r="A73" t="s">
        <v>109</v>
      </c>
      <c r="B73" s="2">
        <v>46065</v>
      </c>
      <c r="C73" t="s">
        <v>82</v>
      </c>
      <c r="D73" t="s">
        <v>17</v>
      </c>
      <c r="E73" t="s">
        <v>26</v>
      </c>
      <c r="F73" t="s">
        <v>40</v>
      </c>
      <c r="G73" t="s">
        <v>14</v>
      </c>
      <c r="H73" s="3">
        <v>4519</v>
      </c>
      <c r="I73" t="s">
        <v>19</v>
      </c>
    </row>
    <row r="74" spans="1:9" x14ac:dyDescent="0.35">
      <c r="A74" t="s">
        <v>110</v>
      </c>
      <c r="B74" s="2">
        <v>46065</v>
      </c>
      <c r="C74" t="s">
        <v>82</v>
      </c>
      <c r="D74" t="s">
        <v>17</v>
      </c>
      <c r="E74" t="s">
        <v>26</v>
      </c>
      <c r="F74" t="s">
        <v>40</v>
      </c>
      <c r="G74" t="s">
        <v>38</v>
      </c>
      <c r="H74" s="3">
        <v>2576</v>
      </c>
      <c r="I74" t="s">
        <v>19</v>
      </c>
    </row>
    <row r="75" spans="1:9" x14ac:dyDescent="0.35">
      <c r="A75" t="s">
        <v>111</v>
      </c>
      <c r="B75" s="2">
        <v>46065</v>
      </c>
      <c r="C75" t="s">
        <v>82</v>
      </c>
      <c r="D75" t="s">
        <v>17</v>
      </c>
      <c r="E75" t="s">
        <v>21</v>
      </c>
      <c r="F75" t="s">
        <v>22</v>
      </c>
      <c r="G75" t="s">
        <v>32</v>
      </c>
      <c r="H75" s="3">
        <v>13899</v>
      </c>
      <c r="I75" t="s">
        <v>19</v>
      </c>
    </row>
    <row r="76" spans="1:9" x14ac:dyDescent="0.35">
      <c r="A76" t="s">
        <v>112</v>
      </c>
      <c r="B76" s="2">
        <v>46066</v>
      </c>
      <c r="C76" t="s">
        <v>82</v>
      </c>
      <c r="D76" t="s">
        <v>11</v>
      </c>
      <c r="E76" t="s">
        <v>34</v>
      </c>
      <c r="F76" t="s">
        <v>35</v>
      </c>
      <c r="G76" t="s">
        <v>55</v>
      </c>
      <c r="H76" s="3">
        <v>10636</v>
      </c>
      <c r="I76" t="s">
        <v>15</v>
      </c>
    </row>
    <row r="77" spans="1:9" x14ac:dyDescent="0.35">
      <c r="A77" t="s">
        <v>113</v>
      </c>
      <c r="B77" s="2">
        <v>46067</v>
      </c>
      <c r="C77" t="s">
        <v>82</v>
      </c>
      <c r="D77" t="s">
        <v>31</v>
      </c>
      <c r="E77" t="s">
        <v>21</v>
      </c>
      <c r="F77" t="s">
        <v>35</v>
      </c>
      <c r="G77" t="s">
        <v>29</v>
      </c>
      <c r="H77" s="3">
        <v>7533</v>
      </c>
      <c r="I77" t="s">
        <v>15</v>
      </c>
    </row>
    <row r="78" spans="1:9" x14ac:dyDescent="0.35">
      <c r="A78" t="s">
        <v>114</v>
      </c>
      <c r="B78" s="2">
        <v>46068</v>
      </c>
      <c r="C78" t="s">
        <v>82</v>
      </c>
      <c r="D78" t="s">
        <v>31</v>
      </c>
      <c r="E78" t="s">
        <v>34</v>
      </c>
      <c r="F78" t="s">
        <v>52</v>
      </c>
      <c r="G78" t="s">
        <v>38</v>
      </c>
      <c r="H78" s="3">
        <v>13254</v>
      </c>
      <c r="I78" t="s">
        <v>23</v>
      </c>
    </row>
    <row r="79" spans="1:9" x14ac:dyDescent="0.35">
      <c r="A79" t="s">
        <v>115</v>
      </c>
      <c r="B79" s="2">
        <v>46069</v>
      </c>
      <c r="C79" t="s">
        <v>82</v>
      </c>
      <c r="D79" t="s">
        <v>11</v>
      </c>
      <c r="E79" t="s">
        <v>12</v>
      </c>
      <c r="F79" t="s">
        <v>40</v>
      </c>
      <c r="G79" t="s">
        <v>55</v>
      </c>
      <c r="H79" s="3">
        <v>8741</v>
      </c>
      <c r="I79" t="s">
        <v>23</v>
      </c>
    </row>
    <row r="80" spans="1:9" x14ac:dyDescent="0.35">
      <c r="A80" t="s">
        <v>116</v>
      </c>
      <c r="B80" s="2">
        <v>46069</v>
      </c>
      <c r="C80" t="s">
        <v>82</v>
      </c>
      <c r="D80" t="s">
        <v>31</v>
      </c>
      <c r="E80" t="s">
        <v>21</v>
      </c>
      <c r="F80" t="s">
        <v>43</v>
      </c>
      <c r="G80" t="s">
        <v>41</v>
      </c>
      <c r="H80" s="3">
        <v>11097</v>
      </c>
      <c r="I80" t="s">
        <v>19</v>
      </c>
    </row>
    <row r="81" spans="1:9" x14ac:dyDescent="0.35">
      <c r="A81" t="s">
        <v>117</v>
      </c>
      <c r="B81" s="2">
        <v>46070</v>
      </c>
      <c r="C81" t="s">
        <v>82</v>
      </c>
      <c r="D81" t="s">
        <v>25</v>
      </c>
      <c r="E81" t="s">
        <v>26</v>
      </c>
      <c r="F81" t="s">
        <v>35</v>
      </c>
      <c r="G81" t="s">
        <v>41</v>
      </c>
      <c r="H81" s="3">
        <v>11073</v>
      </c>
      <c r="I81" t="s">
        <v>19</v>
      </c>
    </row>
    <row r="82" spans="1:9" x14ac:dyDescent="0.35">
      <c r="A82" t="s">
        <v>118</v>
      </c>
      <c r="B82" s="2">
        <v>46070</v>
      </c>
      <c r="C82" t="s">
        <v>82</v>
      </c>
      <c r="D82" t="s">
        <v>31</v>
      </c>
      <c r="E82" t="s">
        <v>26</v>
      </c>
      <c r="F82" t="s">
        <v>40</v>
      </c>
      <c r="G82" t="s">
        <v>47</v>
      </c>
      <c r="H82" s="3">
        <v>3861</v>
      </c>
      <c r="I82" t="s">
        <v>19</v>
      </c>
    </row>
    <row r="83" spans="1:9" x14ac:dyDescent="0.35">
      <c r="A83" t="s">
        <v>119</v>
      </c>
      <c r="B83" s="2">
        <v>46070</v>
      </c>
      <c r="C83" t="s">
        <v>82</v>
      </c>
      <c r="D83" t="s">
        <v>25</v>
      </c>
      <c r="E83" t="s">
        <v>34</v>
      </c>
      <c r="F83" t="s">
        <v>52</v>
      </c>
      <c r="G83" t="s">
        <v>41</v>
      </c>
      <c r="H83" s="3">
        <v>5955</v>
      </c>
      <c r="I83" t="s">
        <v>23</v>
      </c>
    </row>
    <row r="84" spans="1:9" x14ac:dyDescent="0.35">
      <c r="A84" t="s">
        <v>120</v>
      </c>
      <c r="B84" s="2">
        <v>46071</v>
      </c>
      <c r="C84" t="s">
        <v>82</v>
      </c>
      <c r="D84" t="s">
        <v>17</v>
      </c>
      <c r="E84" t="s">
        <v>34</v>
      </c>
      <c r="F84" t="s">
        <v>13</v>
      </c>
      <c r="G84" t="s">
        <v>47</v>
      </c>
      <c r="H84" s="3">
        <v>3546</v>
      </c>
      <c r="I84" t="s">
        <v>19</v>
      </c>
    </row>
    <row r="85" spans="1:9" x14ac:dyDescent="0.35">
      <c r="A85" t="s">
        <v>121</v>
      </c>
      <c r="B85" s="2">
        <v>46072</v>
      </c>
      <c r="C85" t="s">
        <v>82</v>
      </c>
      <c r="D85" t="s">
        <v>17</v>
      </c>
      <c r="E85" t="s">
        <v>21</v>
      </c>
      <c r="F85" t="s">
        <v>22</v>
      </c>
      <c r="G85" t="s">
        <v>29</v>
      </c>
      <c r="H85" s="3">
        <v>11879</v>
      </c>
      <c r="I85" t="s">
        <v>19</v>
      </c>
    </row>
    <row r="86" spans="1:9" x14ac:dyDescent="0.35">
      <c r="A86" t="s">
        <v>122</v>
      </c>
      <c r="B86" s="2">
        <v>46072</v>
      </c>
      <c r="C86" t="s">
        <v>82</v>
      </c>
      <c r="D86" t="s">
        <v>25</v>
      </c>
      <c r="E86" t="s">
        <v>21</v>
      </c>
      <c r="F86" t="s">
        <v>43</v>
      </c>
      <c r="G86" t="s">
        <v>55</v>
      </c>
      <c r="H86" s="3">
        <v>13935</v>
      </c>
      <c r="I86" t="s">
        <v>19</v>
      </c>
    </row>
    <row r="87" spans="1:9" x14ac:dyDescent="0.35">
      <c r="A87" t="s">
        <v>123</v>
      </c>
      <c r="B87" s="2">
        <v>46074</v>
      </c>
      <c r="C87" t="s">
        <v>82</v>
      </c>
      <c r="D87" t="s">
        <v>17</v>
      </c>
      <c r="E87" t="s">
        <v>21</v>
      </c>
      <c r="F87" t="s">
        <v>13</v>
      </c>
      <c r="G87" t="s">
        <v>38</v>
      </c>
      <c r="H87" s="3">
        <v>4604</v>
      </c>
      <c r="I87" t="s">
        <v>19</v>
      </c>
    </row>
    <row r="88" spans="1:9" x14ac:dyDescent="0.35">
      <c r="A88" t="s">
        <v>124</v>
      </c>
      <c r="B88" s="2">
        <v>46074</v>
      </c>
      <c r="C88" t="s">
        <v>82</v>
      </c>
      <c r="D88" t="s">
        <v>17</v>
      </c>
      <c r="E88" t="s">
        <v>34</v>
      </c>
      <c r="F88" t="s">
        <v>35</v>
      </c>
      <c r="G88" t="s">
        <v>32</v>
      </c>
      <c r="H88" s="3">
        <v>600</v>
      </c>
      <c r="I88" t="s">
        <v>15</v>
      </c>
    </row>
    <row r="89" spans="1:9" x14ac:dyDescent="0.35">
      <c r="A89" t="s">
        <v>125</v>
      </c>
      <c r="B89" s="2">
        <v>46074</v>
      </c>
      <c r="C89" t="s">
        <v>82</v>
      </c>
      <c r="D89" t="s">
        <v>25</v>
      </c>
      <c r="E89" t="s">
        <v>26</v>
      </c>
      <c r="F89" t="s">
        <v>13</v>
      </c>
      <c r="G89" t="s">
        <v>18</v>
      </c>
      <c r="H89" s="3">
        <v>4994</v>
      </c>
      <c r="I89" t="s">
        <v>19</v>
      </c>
    </row>
    <row r="90" spans="1:9" x14ac:dyDescent="0.35">
      <c r="A90" t="s">
        <v>126</v>
      </c>
      <c r="B90" s="2">
        <v>46075</v>
      </c>
      <c r="C90" t="s">
        <v>82</v>
      </c>
      <c r="D90" t="s">
        <v>31</v>
      </c>
      <c r="E90" t="s">
        <v>12</v>
      </c>
      <c r="F90" t="s">
        <v>43</v>
      </c>
      <c r="G90" t="s">
        <v>32</v>
      </c>
      <c r="H90" s="3">
        <v>12185</v>
      </c>
      <c r="I90" t="s">
        <v>23</v>
      </c>
    </row>
    <row r="91" spans="1:9" x14ac:dyDescent="0.35">
      <c r="A91" t="s">
        <v>127</v>
      </c>
      <c r="B91" s="2">
        <v>46075</v>
      </c>
      <c r="C91" t="s">
        <v>82</v>
      </c>
      <c r="D91" t="s">
        <v>31</v>
      </c>
      <c r="E91" t="s">
        <v>34</v>
      </c>
      <c r="F91" t="s">
        <v>35</v>
      </c>
      <c r="G91" t="s">
        <v>41</v>
      </c>
      <c r="H91" s="3">
        <v>2039</v>
      </c>
      <c r="I91" t="s">
        <v>19</v>
      </c>
    </row>
    <row r="92" spans="1:9" x14ac:dyDescent="0.35">
      <c r="A92" t="s">
        <v>128</v>
      </c>
      <c r="B92" s="2">
        <v>46076</v>
      </c>
      <c r="C92" t="s">
        <v>82</v>
      </c>
      <c r="D92" t="s">
        <v>31</v>
      </c>
      <c r="E92" t="s">
        <v>34</v>
      </c>
      <c r="F92" t="s">
        <v>13</v>
      </c>
      <c r="G92" t="s">
        <v>38</v>
      </c>
      <c r="H92" s="3">
        <v>6865</v>
      </c>
      <c r="I92" t="s">
        <v>19</v>
      </c>
    </row>
    <row r="93" spans="1:9" x14ac:dyDescent="0.35">
      <c r="A93" t="s">
        <v>129</v>
      </c>
      <c r="B93" s="2">
        <v>46076</v>
      </c>
      <c r="C93" t="s">
        <v>82</v>
      </c>
      <c r="D93" t="s">
        <v>17</v>
      </c>
      <c r="E93" t="s">
        <v>12</v>
      </c>
      <c r="F93" t="s">
        <v>28</v>
      </c>
      <c r="G93" t="s">
        <v>18</v>
      </c>
      <c r="H93" s="3">
        <v>5453</v>
      </c>
      <c r="I93" t="s">
        <v>19</v>
      </c>
    </row>
    <row r="94" spans="1:9" x14ac:dyDescent="0.35">
      <c r="A94" t="s">
        <v>130</v>
      </c>
      <c r="B94" s="2">
        <v>46077</v>
      </c>
      <c r="C94" t="s">
        <v>82</v>
      </c>
      <c r="D94" t="s">
        <v>17</v>
      </c>
      <c r="E94" t="s">
        <v>34</v>
      </c>
      <c r="F94" t="s">
        <v>40</v>
      </c>
      <c r="G94" t="s">
        <v>29</v>
      </c>
      <c r="H94" s="3">
        <v>7188</v>
      </c>
      <c r="I94" t="s">
        <v>19</v>
      </c>
    </row>
    <row r="95" spans="1:9" x14ac:dyDescent="0.35">
      <c r="A95" t="s">
        <v>131</v>
      </c>
      <c r="B95" s="2">
        <v>46077</v>
      </c>
      <c r="C95" t="s">
        <v>82</v>
      </c>
      <c r="D95" t="s">
        <v>31</v>
      </c>
      <c r="E95" t="s">
        <v>12</v>
      </c>
      <c r="F95" t="s">
        <v>52</v>
      </c>
      <c r="G95" t="s">
        <v>18</v>
      </c>
      <c r="H95" s="3">
        <v>5041</v>
      </c>
      <c r="I95" t="s">
        <v>19</v>
      </c>
    </row>
    <row r="96" spans="1:9" x14ac:dyDescent="0.35">
      <c r="A96" t="s">
        <v>132</v>
      </c>
      <c r="B96" s="2">
        <v>46077</v>
      </c>
      <c r="C96" t="s">
        <v>82</v>
      </c>
      <c r="D96" t="s">
        <v>25</v>
      </c>
      <c r="E96" t="s">
        <v>26</v>
      </c>
      <c r="F96" t="s">
        <v>35</v>
      </c>
      <c r="G96" t="s">
        <v>55</v>
      </c>
      <c r="H96" s="3">
        <v>1665</v>
      </c>
      <c r="I96" t="s">
        <v>19</v>
      </c>
    </row>
    <row r="97" spans="1:9" x14ac:dyDescent="0.35">
      <c r="A97" t="s">
        <v>133</v>
      </c>
      <c r="B97" s="2">
        <v>46078</v>
      </c>
      <c r="C97" t="s">
        <v>82</v>
      </c>
      <c r="D97" t="s">
        <v>25</v>
      </c>
      <c r="E97" t="s">
        <v>34</v>
      </c>
      <c r="F97" t="s">
        <v>28</v>
      </c>
      <c r="G97" t="s">
        <v>47</v>
      </c>
      <c r="H97" s="3">
        <v>13900</v>
      </c>
      <c r="I97" t="s">
        <v>19</v>
      </c>
    </row>
    <row r="98" spans="1:9" x14ac:dyDescent="0.35">
      <c r="A98" t="s">
        <v>134</v>
      </c>
      <c r="B98" s="2">
        <v>46078</v>
      </c>
      <c r="C98" t="s">
        <v>82</v>
      </c>
      <c r="D98" t="s">
        <v>11</v>
      </c>
      <c r="E98" t="s">
        <v>12</v>
      </c>
      <c r="F98" t="s">
        <v>13</v>
      </c>
      <c r="G98" t="s">
        <v>18</v>
      </c>
      <c r="H98" s="3">
        <v>3189</v>
      </c>
      <c r="I98" t="s">
        <v>19</v>
      </c>
    </row>
    <row r="99" spans="1:9" x14ac:dyDescent="0.35">
      <c r="A99" t="s">
        <v>135</v>
      </c>
      <c r="B99" s="2">
        <v>46078</v>
      </c>
      <c r="C99" t="s">
        <v>82</v>
      </c>
      <c r="D99" t="s">
        <v>25</v>
      </c>
      <c r="E99" t="s">
        <v>21</v>
      </c>
      <c r="F99" t="s">
        <v>40</v>
      </c>
      <c r="G99" t="s">
        <v>38</v>
      </c>
      <c r="H99" s="3">
        <v>2244</v>
      </c>
      <c r="I99" t="s">
        <v>19</v>
      </c>
    </row>
    <row r="100" spans="1:9" x14ac:dyDescent="0.35">
      <c r="A100" t="s">
        <v>136</v>
      </c>
      <c r="B100" s="2">
        <v>46079</v>
      </c>
      <c r="C100" t="s">
        <v>82</v>
      </c>
      <c r="D100" t="s">
        <v>25</v>
      </c>
      <c r="E100" t="s">
        <v>34</v>
      </c>
      <c r="F100" t="s">
        <v>43</v>
      </c>
      <c r="G100" t="s">
        <v>47</v>
      </c>
      <c r="H100" s="3">
        <v>3943</v>
      </c>
      <c r="I100" t="s">
        <v>19</v>
      </c>
    </row>
    <row r="101" spans="1:9" x14ac:dyDescent="0.35">
      <c r="A101" t="s">
        <v>137</v>
      </c>
      <c r="B101" s="2">
        <v>46080</v>
      </c>
      <c r="C101" t="s">
        <v>82</v>
      </c>
      <c r="D101" t="s">
        <v>25</v>
      </c>
      <c r="E101" t="s">
        <v>26</v>
      </c>
      <c r="F101" t="s">
        <v>35</v>
      </c>
      <c r="G101" t="s">
        <v>41</v>
      </c>
      <c r="H101" s="3">
        <v>12199</v>
      </c>
      <c r="I101" t="s">
        <v>19</v>
      </c>
    </row>
    <row r="102" spans="1:9" x14ac:dyDescent="0.35">
      <c r="A102" t="s">
        <v>138</v>
      </c>
      <c r="B102" s="2">
        <v>46081</v>
      </c>
      <c r="C102" t="s">
        <v>82</v>
      </c>
      <c r="D102" t="s">
        <v>11</v>
      </c>
      <c r="E102" t="s">
        <v>12</v>
      </c>
      <c r="F102" t="s">
        <v>37</v>
      </c>
      <c r="G102" t="s">
        <v>47</v>
      </c>
      <c r="H102" s="3">
        <v>10714</v>
      </c>
      <c r="I102" t="s">
        <v>23</v>
      </c>
    </row>
    <row r="103" spans="1:9" x14ac:dyDescent="0.35">
      <c r="A103" t="s">
        <v>139</v>
      </c>
      <c r="B103" s="2">
        <v>46081</v>
      </c>
      <c r="C103" t="s">
        <v>82</v>
      </c>
      <c r="D103" t="s">
        <v>17</v>
      </c>
      <c r="E103" t="s">
        <v>26</v>
      </c>
      <c r="F103" t="s">
        <v>28</v>
      </c>
      <c r="G103" t="s">
        <v>14</v>
      </c>
      <c r="H103" s="3">
        <v>5816</v>
      </c>
      <c r="I103" t="s">
        <v>19</v>
      </c>
    </row>
    <row r="104" spans="1:9" x14ac:dyDescent="0.35">
      <c r="A104" t="s">
        <v>140</v>
      </c>
      <c r="B104" s="2">
        <v>46082</v>
      </c>
      <c r="C104" t="s">
        <v>141</v>
      </c>
      <c r="D104" t="s">
        <v>31</v>
      </c>
      <c r="E104" t="s">
        <v>12</v>
      </c>
      <c r="F104" t="s">
        <v>40</v>
      </c>
      <c r="G104" t="s">
        <v>32</v>
      </c>
      <c r="H104" s="3">
        <v>14220</v>
      </c>
      <c r="I104" t="s">
        <v>19</v>
      </c>
    </row>
    <row r="105" spans="1:9" x14ac:dyDescent="0.35">
      <c r="A105" t="s">
        <v>142</v>
      </c>
      <c r="B105" s="2">
        <v>46082</v>
      </c>
      <c r="C105" t="s">
        <v>141</v>
      </c>
      <c r="D105" t="s">
        <v>17</v>
      </c>
      <c r="E105" t="s">
        <v>34</v>
      </c>
      <c r="F105" t="s">
        <v>37</v>
      </c>
      <c r="G105" t="s">
        <v>32</v>
      </c>
      <c r="H105" s="3">
        <v>3415</v>
      </c>
      <c r="I105" t="s">
        <v>23</v>
      </c>
    </row>
    <row r="106" spans="1:9" x14ac:dyDescent="0.35">
      <c r="A106" t="s">
        <v>143</v>
      </c>
      <c r="B106" s="2">
        <v>46085</v>
      </c>
      <c r="C106" t="s">
        <v>141</v>
      </c>
      <c r="D106" t="s">
        <v>31</v>
      </c>
      <c r="E106" t="s">
        <v>26</v>
      </c>
      <c r="F106" t="s">
        <v>40</v>
      </c>
      <c r="G106" t="s">
        <v>18</v>
      </c>
      <c r="H106" s="3">
        <v>7602</v>
      </c>
      <c r="I106" t="s">
        <v>19</v>
      </c>
    </row>
    <row r="107" spans="1:9" x14ac:dyDescent="0.35">
      <c r="A107" t="s">
        <v>144</v>
      </c>
      <c r="B107" s="2">
        <v>46087</v>
      </c>
      <c r="C107" t="s">
        <v>141</v>
      </c>
      <c r="D107" t="s">
        <v>31</v>
      </c>
      <c r="E107" t="s">
        <v>26</v>
      </c>
      <c r="F107" t="s">
        <v>35</v>
      </c>
      <c r="G107" t="s">
        <v>47</v>
      </c>
      <c r="H107" s="3">
        <v>3412</v>
      </c>
      <c r="I107" t="s">
        <v>15</v>
      </c>
    </row>
    <row r="108" spans="1:9" x14ac:dyDescent="0.35">
      <c r="A108" t="s">
        <v>145</v>
      </c>
      <c r="B108" s="2">
        <v>46088</v>
      </c>
      <c r="C108" t="s">
        <v>141</v>
      </c>
      <c r="D108" t="s">
        <v>31</v>
      </c>
      <c r="E108" t="s">
        <v>12</v>
      </c>
      <c r="F108" t="s">
        <v>52</v>
      </c>
      <c r="G108" t="s">
        <v>32</v>
      </c>
      <c r="H108" s="3">
        <v>11565</v>
      </c>
      <c r="I108" t="s">
        <v>23</v>
      </c>
    </row>
    <row r="109" spans="1:9" x14ac:dyDescent="0.35">
      <c r="A109" t="s">
        <v>146</v>
      </c>
      <c r="B109" s="2">
        <v>46089</v>
      </c>
      <c r="C109" t="s">
        <v>141</v>
      </c>
      <c r="D109" t="s">
        <v>31</v>
      </c>
      <c r="E109" t="s">
        <v>21</v>
      </c>
      <c r="F109" t="s">
        <v>40</v>
      </c>
      <c r="G109" t="s">
        <v>38</v>
      </c>
      <c r="H109" s="3">
        <v>11663</v>
      </c>
      <c r="I109" t="s">
        <v>15</v>
      </c>
    </row>
    <row r="110" spans="1:9" x14ac:dyDescent="0.35">
      <c r="A110" t="s">
        <v>147</v>
      </c>
      <c r="B110" s="2">
        <v>46089</v>
      </c>
      <c r="C110" t="s">
        <v>141</v>
      </c>
      <c r="D110" t="s">
        <v>25</v>
      </c>
      <c r="E110" t="s">
        <v>21</v>
      </c>
      <c r="F110" t="s">
        <v>40</v>
      </c>
      <c r="G110" t="s">
        <v>38</v>
      </c>
      <c r="H110" s="3">
        <v>4828</v>
      </c>
      <c r="I110" t="s">
        <v>19</v>
      </c>
    </row>
    <row r="111" spans="1:9" x14ac:dyDescent="0.35">
      <c r="A111" t="s">
        <v>148</v>
      </c>
      <c r="B111" s="2">
        <v>46090</v>
      </c>
      <c r="C111" t="s">
        <v>141</v>
      </c>
      <c r="D111" t="s">
        <v>31</v>
      </c>
      <c r="E111" t="s">
        <v>26</v>
      </c>
      <c r="F111" t="s">
        <v>52</v>
      </c>
      <c r="G111" t="s">
        <v>29</v>
      </c>
      <c r="H111" s="3">
        <v>14482</v>
      </c>
      <c r="I111" t="s">
        <v>19</v>
      </c>
    </row>
    <row r="112" spans="1:9" x14ac:dyDescent="0.35">
      <c r="A112" t="s">
        <v>149</v>
      </c>
      <c r="B112" s="2">
        <v>46090</v>
      </c>
      <c r="C112" t="s">
        <v>141</v>
      </c>
      <c r="D112" t="s">
        <v>25</v>
      </c>
      <c r="E112" t="s">
        <v>12</v>
      </c>
      <c r="F112" t="s">
        <v>52</v>
      </c>
      <c r="G112" t="s">
        <v>14</v>
      </c>
      <c r="H112" s="3">
        <v>10625</v>
      </c>
      <c r="I112" t="s">
        <v>23</v>
      </c>
    </row>
    <row r="113" spans="1:9" x14ac:dyDescent="0.35">
      <c r="A113" t="s">
        <v>150</v>
      </c>
      <c r="B113" s="2">
        <v>46091</v>
      </c>
      <c r="C113" t="s">
        <v>141</v>
      </c>
      <c r="D113" t="s">
        <v>31</v>
      </c>
      <c r="E113" t="s">
        <v>26</v>
      </c>
      <c r="F113" t="s">
        <v>28</v>
      </c>
      <c r="G113" t="s">
        <v>29</v>
      </c>
      <c r="H113" s="3">
        <v>1941</v>
      </c>
      <c r="I113" t="s">
        <v>19</v>
      </c>
    </row>
    <row r="114" spans="1:9" x14ac:dyDescent="0.35">
      <c r="A114" t="s">
        <v>151</v>
      </c>
      <c r="B114" s="2">
        <v>46091</v>
      </c>
      <c r="C114" t="s">
        <v>141</v>
      </c>
      <c r="D114" t="s">
        <v>11</v>
      </c>
      <c r="E114" t="s">
        <v>21</v>
      </c>
      <c r="F114" t="s">
        <v>22</v>
      </c>
      <c r="G114" t="s">
        <v>41</v>
      </c>
      <c r="H114" s="3">
        <v>1981</v>
      </c>
      <c r="I114" t="s">
        <v>19</v>
      </c>
    </row>
    <row r="115" spans="1:9" x14ac:dyDescent="0.35">
      <c r="A115" t="s">
        <v>152</v>
      </c>
      <c r="B115" s="2">
        <v>46091</v>
      </c>
      <c r="C115" t="s">
        <v>141</v>
      </c>
      <c r="D115" t="s">
        <v>25</v>
      </c>
      <c r="E115" t="s">
        <v>26</v>
      </c>
      <c r="F115" t="s">
        <v>22</v>
      </c>
      <c r="G115" t="s">
        <v>38</v>
      </c>
      <c r="H115" s="3">
        <v>7718</v>
      </c>
      <c r="I115" t="s">
        <v>15</v>
      </c>
    </row>
    <row r="116" spans="1:9" x14ac:dyDescent="0.35">
      <c r="A116" t="s">
        <v>153</v>
      </c>
      <c r="B116" s="2">
        <v>46092</v>
      </c>
      <c r="C116" t="s">
        <v>141</v>
      </c>
      <c r="D116" t="s">
        <v>17</v>
      </c>
      <c r="E116" t="s">
        <v>34</v>
      </c>
      <c r="F116" t="s">
        <v>28</v>
      </c>
      <c r="G116" t="s">
        <v>47</v>
      </c>
      <c r="H116" s="3">
        <v>11781</v>
      </c>
      <c r="I116" t="s">
        <v>19</v>
      </c>
    </row>
    <row r="117" spans="1:9" x14ac:dyDescent="0.35">
      <c r="A117" t="s">
        <v>154</v>
      </c>
      <c r="B117" s="2">
        <v>46092</v>
      </c>
      <c r="C117" t="s">
        <v>141</v>
      </c>
      <c r="D117" t="s">
        <v>31</v>
      </c>
      <c r="E117" t="s">
        <v>21</v>
      </c>
      <c r="F117" t="s">
        <v>40</v>
      </c>
      <c r="G117" t="s">
        <v>38</v>
      </c>
      <c r="H117" s="3">
        <v>3027</v>
      </c>
      <c r="I117" t="s">
        <v>19</v>
      </c>
    </row>
    <row r="118" spans="1:9" x14ac:dyDescent="0.35">
      <c r="A118" t="s">
        <v>155</v>
      </c>
      <c r="B118" s="2">
        <v>46093</v>
      </c>
      <c r="C118" t="s">
        <v>141</v>
      </c>
      <c r="D118" t="s">
        <v>25</v>
      </c>
      <c r="E118" t="s">
        <v>12</v>
      </c>
      <c r="F118" t="s">
        <v>40</v>
      </c>
      <c r="G118" t="s">
        <v>38</v>
      </c>
      <c r="H118" s="3">
        <v>3447</v>
      </c>
      <c r="I118" t="s">
        <v>15</v>
      </c>
    </row>
    <row r="119" spans="1:9" x14ac:dyDescent="0.35">
      <c r="A119" t="s">
        <v>156</v>
      </c>
      <c r="B119" s="2">
        <v>46094</v>
      </c>
      <c r="C119" t="s">
        <v>141</v>
      </c>
      <c r="D119" t="s">
        <v>11</v>
      </c>
      <c r="E119" t="s">
        <v>21</v>
      </c>
      <c r="F119" t="s">
        <v>13</v>
      </c>
      <c r="G119" t="s">
        <v>18</v>
      </c>
      <c r="H119" s="3">
        <v>5011</v>
      </c>
      <c r="I119" t="s">
        <v>23</v>
      </c>
    </row>
    <row r="120" spans="1:9" x14ac:dyDescent="0.35">
      <c r="A120" t="s">
        <v>157</v>
      </c>
      <c r="B120" s="2">
        <v>46094</v>
      </c>
      <c r="C120" t="s">
        <v>141</v>
      </c>
      <c r="D120" t="s">
        <v>17</v>
      </c>
      <c r="E120" t="s">
        <v>34</v>
      </c>
      <c r="F120" t="s">
        <v>52</v>
      </c>
      <c r="G120" t="s">
        <v>32</v>
      </c>
      <c r="H120" s="3">
        <v>5204</v>
      </c>
      <c r="I120" t="s">
        <v>19</v>
      </c>
    </row>
    <row r="121" spans="1:9" x14ac:dyDescent="0.35">
      <c r="A121" t="s">
        <v>158</v>
      </c>
      <c r="B121" s="2">
        <v>46095</v>
      </c>
      <c r="C121" t="s">
        <v>141</v>
      </c>
      <c r="D121" t="s">
        <v>25</v>
      </c>
      <c r="E121" t="s">
        <v>34</v>
      </c>
      <c r="F121" t="s">
        <v>52</v>
      </c>
      <c r="G121" t="s">
        <v>18</v>
      </c>
      <c r="H121" s="3">
        <v>13918</v>
      </c>
      <c r="I121" t="s">
        <v>19</v>
      </c>
    </row>
    <row r="122" spans="1:9" x14ac:dyDescent="0.35">
      <c r="A122" t="s">
        <v>159</v>
      </c>
      <c r="B122" s="2">
        <v>46096</v>
      </c>
      <c r="C122" t="s">
        <v>141</v>
      </c>
      <c r="D122" t="s">
        <v>11</v>
      </c>
      <c r="E122" t="s">
        <v>12</v>
      </c>
      <c r="F122" t="s">
        <v>28</v>
      </c>
      <c r="G122" t="s">
        <v>29</v>
      </c>
      <c r="H122" s="3">
        <v>8590</v>
      </c>
      <c r="I122" t="s">
        <v>23</v>
      </c>
    </row>
    <row r="123" spans="1:9" x14ac:dyDescent="0.35">
      <c r="A123" t="s">
        <v>160</v>
      </c>
      <c r="B123" s="2">
        <v>46097</v>
      </c>
      <c r="C123" t="s">
        <v>141</v>
      </c>
      <c r="D123" t="s">
        <v>17</v>
      </c>
      <c r="E123" t="s">
        <v>21</v>
      </c>
      <c r="F123" t="s">
        <v>13</v>
      </c>
      <c r="G123" t="s">
        <v>47</v>
      </c>
      <c r="H123" s="3">
        <v>4322</v>
      </c>
      <c r="I123" t="s">
        <v>19</v>
      </c>
    </row>
    <row r="124" spans="1:9" x14ac:dyDescent="0.35">
      <c r="A124" t="s">
        <v>161</v>
      </c>
      <c r="B124" s="2">
        <v>46098</v>
      </c>
      <c r="C124" t="s">
        <v>141</v>
      </c>
      <c r="D124" t="s">
        <v>31</v>
      </c>
      <c r="E124" t="s">
        <v>34</v>
      </c>
      <c r="F124" t="s">
        <v>40</v>
      </c>
      <c r="G124" t="s">
        <v>47</v>
      </c>
      <c r="H124" s="3">
        <v>11316</v>
      </c>
      <c r="I124" t="s">
        <v>23</v>
      </c>
    </row>
    <row r="125" spans="1:9" x14ac:dyDescent="0.35">
      <c r="A125" t="s">
        <v>162</v>
      </c>
      <c r="B125" s="2">
        <v>46099</v>
      </c>
      <c r="C125" t="s">
        <v>141</v>
      </c>
      <c r="D125" t="s">
        <v>11</v>
      </c>
      <c r="E125" t="s">
        <v>12</v>
      </c>
      <c r="F125" t="s">
        <v>35</v>
      </c>
      <c r="G125" t="s">
        <v>47</v>
      </c>
      <c r="H125" s="3">
        <v>6217</v>
      </c>
      <c r="I125" t="s">
        <v>19</v>
      </c>
    </row>
    <row r="126" spans="1:9" x14ac:dyDescent="0.35">
      <c r="A126" t="s">
        <v>163</v>
      </c>
      <c r="B126" s="2">
        <v>46101</v>
      </c>
      <c r="C126" t="s">
        <v>141</v>
      </c>
      <c r="D126" t="s">
        <v>11</v>
      </c>
      <c r="E126" t="s">
        <v>34</v>
      </c>
      <c r="F126" t="s">
        <v>52</v>
      </c>
      <c r="G126" t="s">
        <v>55</v>
      </c>
      <c r="H126" s="3">
        <v>12542</v>
      </c>
      <c r="I126" t="s">
        <v>19</v>
      </c>
    </row>
    <row r="127" spans="1:9" x14ac:dyDescent="0.35">
      <c r="A127" t="s">
        <v>164</v>
      </c>
      <c r="B127" s="2">
        <v>46101</v>
      </c>
      <c r="C127" t="s">
        <v>141</v>
      </c>
      <c r="D127" t="s">
        <v>17</v>
      </c>
      <c r="E127" t="s">
        <v>34</v>
      </c>
      <c r="F127" t="s">
        <v>35</v>
      </c>
      <c r="G127" t="s">
        <v>55</v>
      </c>
      <c r="H127" s="3">
        <v>2118</v>
      </c>
      <c r="I127" t="s">
        <v>19</v>
      </c>
    </row>
    <row r="128" spans="1:9" x14ac:dyDescent="0.35">
      <c r="A128" t="s">
        <v>165</v>
      </c>
      <c r="B128" s="2">
        <v>46101</v>
      </c>
      <c r="C128" t="s">
        <v>141</v>
      </c>
      <c r="D128" t="s">
        <v>25</v>
      </c>
      <c r="E128" t="s">
        <v>21</v>
      </c>
      <c r="F128" t="s">
        <v>40</v>
      </c>
      <c r="G128" t="s">
        <v>55</v>
      </c>
      <c r="H128" s="3">
        <v>11790</v>
      </c>
      <c r="I128" t="s">
        <v>19</v>
      </c>
    </row>
    <row r="129" spans="1:9" x14ac:dyDescent="0.35">
      <c r="A129" t="s">
        <v>166</v>
      </c>
      <c r="B129" s="2">
        <v>46102</v>
      </c>
      <c r="C129" t="s">
        <v>141</v>
      </c>
      <c r="D129" t="s">
        <v>31</v>
      </c>
      <c r="E129" t="s">
        <v>34</v>
      </c>
      <c r="F129" t="s">
        <v>28</v>
      </c>
      <c r="G129" t="s">
        <v>55</v>
      </c>
      <c r="H129" s="3">
        <v>12410</v>
      </c>
      <c r="I129" t="s">
        <v>19</v>
      </c>
    </row>
    <row r="130" spans="1:9" x14ac:dyDescent="0.35">
      <c r="A130" t="s">
        <v>167</v>
      </c>
      <c r="B130" s="2">
        <v>46103</v>
      </c>
      <c r="C130" t="s">
        <v>141</v>
      </c>
      <c r="D130" t="s">
        <v>25</v>
      </c>
      <c r="E130" t="s">
        <v>34</v>
      </c>
      <c r="F130" t="s">
        <v>28</v>
      </c>
      <c r="G130" t="s">
        <v>14</v>
      </c>
      <c r="H130" s="3">
        <v>13710</v>
      </c>
      <c r="I130" t="s">
        <v>19</v>
      </c>
    </row>
    <row r="131" spans="1:9" x14ac:dyDescent="0.35">
      <c r="A131" t="s">
        <v>168</v>
      </c>
      <c r="B131" s="2">
        <v>46106</v>
      </c>
      <c r="C131" t="s">
        <v>141</v>
      </c>
      <c r="D131" t="s">
        <v>25</v>
      </c>
      <c r="E131" t="s">
        <v>26</v>
      </c>
      <c r="F131" t="s">
        <v>52</v>
      </c>
      <c r="G131" t="s">
        <v>32</v>
      </c>
      <c r="H131" s="3">
        <v>6266</v>
      </c>
      <c r="I131" t="s">
        <v>19</v>
      </c>
    </row>
    <row r="132" spans="1:9" x14ac:dyDescent="0.35">
      <c r="A132" t="s">
        <v>169</v>
      </c>
      <c r="B132" s="2">
        <v>46106</v>
      </c>
      <c r="C132" t="s">
        <v>141</v>
      </c>
      <c r="D132" t="s">
        <v>31</v>
      </c>
      <c r="E132" t="s">
        <v>21</v>
      </c>
      <c r="F132" t="s">
        <v>43</v>
      </c>
      <c r="G132" t="s">
        <v>38</v>
      </c>
      <c r="H132" s="3">
        <v>1257</v>
      </c>
      <c r="I132" t="s">
        <v>19</v>
      </c>
    </row>
    <row r="133" spans="1:9" x14ac:dyDescent="0.35">
      <c r="A133" t="s">
        <v>170</v>
      </c>
      <c r="B133" s="2">
        <v>46106</v>
      </c>
      <c r="C133" t="s">
        <v>141</v>
      </c>
      <c r="D133" t="s">
        <v>25</v>
      </c>
      <c r="E133" t="s">
        <v>26</v>
      </c>
      <c r="F133" t="s">
        <v>43</v>
      </c>
      <c r="G133" t="s">
        <v>38</v>
      </c>
      <c r="H133" s="3">
        <v>7568</v>
      </c>
      <c r="I133" t="s">
        <v>23</v>
      </c>
    </row>
    <row r="134" spans="1:9" x14ac:dyDescent="0.35">
      <c r="A134" t="s">
        <v>171</v>
      </c>
      <c r="B134" s="2">
        <v>46107</v>
      </c>
      <c r="C134" t="s">
        <v>141</v>
      </c>
      <c r="D134" t="s">
        <v>31</v>
      </c>
      <c r="E134" t="s">
        <v>12</v>
      </c>
      <c r="F134" t="s">
        <v>52</v>
      </c>
      <c r="G134" t="s">
        <v>47</v>
      </c>
      <c r="H134" s="3">
        <v>7220</v>
      </c>
      <c r="I134" t="s">
        <v>23</v>
      </c>
    </row>
    <row r="135" spans="1:9" x14ac:dyDescent="0.35">
      <c r="A135" t="s">
        <v>172</v>
      </c>
      <c r="B135" s="2">
        <v>46107</v>
      </c>
      <c r="C135" t="s">
        <v>141</v>
      </c>
      <c r="D135" t="s">
        <v>11</v>
      </c>
      <c r="E135" t="s">
        <v>21</v>
      </c>
      <c r="F135" t="s">
        <v>28</v>
      </c>
      <c r="G135" t="s">
        <v>14</v>
      </c>
      <c r="H135" s="3">
        <v>5336</v>
      </c>
      <c r="I135" t="s">
        <v>19</v>
      </c>
    </row>
    <row r="136" spans="1:9" x14ac:dyDescent="0.35">
      <c r="A136" t="s">
        <v>173</v>
      </c>
      <c r="B136" s="2">
        <v>46107</v>
      </c>
      <c r="C136" t="s">
        <v>141</v>
      </c>
      <c r="D136" t="s">
        <v>11</v>
      </c>
      <c r="E136" t="s">
        <v>26</v>
      </c>
      <c r="F136" t="s">
        <v>40</v>
      </c>
      <c r="G136" t="s">
        <v>55</v>
      </c>
      <c r="H136" s="3">
        <v>5803</v>
      </c>
      <c r="I136" t="s">
        <v>19</v>
      </c>
    </row>
    <row r="137" spans="1:9" x14ac:dyDescent="0.35">
      <c r="A137" t="s">
        <v>174</v>
      </c>
      <c r="B137" s="2">
        <v>46108</v>
      </c>
      <c r="C137" t="s">
        <v>141</v>
      </c>
      <c r="D137" t="s">
        <v>25</v>
      </c>
      <c r="E137" t="s">
        <v>12</v>
      </c>
      <c r="F137" t="s">
        <v>43</v>
      </c>
      <c r="G137" t="s">
        <v>38</v>
      </c>
      <c r="H137" s="3">
        <v>7322</v>
      </c>
      <c r="I137" t="s">
        <v>23</v>
      </c>
    </row>
    <row r="138" spans="1:9" x14ac:dyDescent="0.35">
      <c r="A138" t="s">
        <v>175</v>
      </c>
      <c r="B138" s="2">
        <v>46108</v>
      </c>
      <c r="C138" t="s">
        <v>141</v>
      </c>
      <c r="D138" t="s">
        <v>31</v>
      </c>
      <c r="E138" t="s">
        <v>12</v>
      </c>
      <c r="F138" t="s">
        <v>52</v>
      </c>
      <c r="G138" t="s">
        <v>18</v>
      </c>
      <c r="H138" s="3">
        <v>10088</v>
      </c>
      <c r="I138" t="s">
        <v>23</v>
      </c>
    </row>
    <row r="139" spans="1:9" x14ac:dyDescent="0.35">
      <c r="A139" t="s">
        <v>176</v>
      </c>
      <c r="B139" s="2">
        <v>46109</v>
      </c>
      <c r="C139" t="s">
        <v>141</v>
      </c>
      <c r="D139" t="s">
        <v>25</v>
      </c>
      <c r="E139" t="s">
        <v>21</v>
      </c>
      <c r="F139" t="s">
        <v>37</v>
      </c>
      <c r="G139" t="s">
        <v>41</v>
      </c>
      <c r="H139" s="3">
        <v>4455</v>
      </c>
      <c r="I139" t="s">
        <v>19</v>
      </c>
    </row>
    <row r="140" spans="1:9" x14ac:dyDescent="0.35">
      <c r="A140" t="s">
        <v>177</v>
      </c>
      <c r="B140" s="2">
        <v>46109</v>
      </c>
      <c r="C140" t="s">
        <v>141</v>
      </c>
      <c r="D140" t="s">
        <v>17</v>
      </c>
      <c r="E140" t="s">
        <v>26</v>
      </c>
      <c r="F140" t="s">
        <v>43</v>
      </c>
      <c r="G140" t="s">
        <v>32</v>
      </c>
      <c r="H140" s="3">
        <v>11851</v>
      </c>
      <c r="I140" t="s">
        <v>19</v>
      </c>
    </row>
    <row r="141" spans="1:9" x14ac:dyDescent="0.35">
      <c r="A141" t="s">
        <v>178</v>
      </c>
      <c r="B141" s="2">
        <v>46110</v>
      </c>
      <c r="C141" t="s">
        <v>141</v>
      </c>
      <c r="D141" t="s">
        <v>17</v>
      </c>
      <c r="E141" t="s">
        <v>26</v>
      </c>
      <c r="F141" t="s">
        <v>35</v>
      </c>
      <c r="G141" t="s">
        <v>32</v>
      </c>
      <c r="H141" s="3">
        <v>10355</v>
      </c>
      <c r="I141" t="s">
        <v>15</v>
      </c>
    </row>
    <row r="142" spans="1:9" x14ac:dyDescent="0.35">
      <c r="A142" t="s">
        <v>179</v>
      </c>
      <c r="B142" s="2">
        <v>46111</v>
      </c>
      <c r="C142" t="s">
        <v>141</v>
      </c>
      <c r="D142" t="s">
        <v>25</v>
      </c>
      <c r="E142" t="s">
        <v>21</v>
      </c>
      <c r="F142" t="s">
        <v>28</v>
      </c>
      <c r="G142" t="s">
        <v>55</v>
      </c>
      <c r="H142" s="3">
        <v>14994</v>
      </c>
      <c r="I142" t="s">
        <v>19</v>
      </c>
    </row>
    <row r="143" spans="1:9" x14ac:dyDescent="0.35">
      <c r="A143" t="s">
        <v>180</v>
      </c>
      <c r="B143" s="2">
        <v>46112</v>
      </c>
      <c r="C143" t="s">
        <v>141</v>
      </c>
      <c r="D143" t="s">
        <v>31</v>
      </c>
      <c r="E143" t="s">
        <v>34</v>
      </c>
      <c r="F143" t="s">
        <v>35</v>
      </c>
      <c r="G143" t="s">
        <v>47</v>
      </c>
      <c r="H143" s="3">
        <v>671</v>
      </c>
      <c r="I143" t="s">
        <v>19</v>
      </c>
    </row>
    <row r="144" spans="1:9" x14ac:dyDescent="0.35">
      <c r="A144" t="s">
        <v>181</v>
      </c>
      <c r="B144" s="2">
        <v>46112</v>
      </c>
      <c r="C144" t="s">
        <v>141</v>
      </c>
      <c r="D144" t="s">
        <v>11</v>
      </c>
      <c r="E144" t="s">
        <v>34</v>
      </c>
      <c r="F144" t="s">
        <v>40</v>
      </c>
      <c r="G144" t="s">
        <v>55</v>
      </c>
      <c r="H144" s="3">
        <v>14504</v>
      </c>
      <c r="I144" t="s">
        <v>19</v>
      </c>
    </row>
    <row r="145" spans="1:9" x14ac:dyDescent="0.35">
      <c r="A145" t="s">
        <v>182</v>
      </c>
      <c r="B145" s="2">
        <v>46113</v>
      </c>
      <c r="C145" t="s">
        <v>183</v>
      </c>
      <c r="D145" t="s">
        <v>11</v>
      </c>
      <c r="E145" t="s">
        <v>21</v>
      </c>
      <c r="F145" t="s">
        <v>40</v>
      </c>
      <c r="G145" t="s">
        <v>47</v>
      </c>
      <c r="H145" s="3">
        <v>456</v>
      </c>
      <c r="I145" t="s">
        <v>19</v>
      </c>
    </row>
    <row r="146" spans="1:9" x14ac:dyDescent="0.35">
      <c r="A146" t="s">
        <v>184</v>
      </c>
      <c r="B146" s="2">
        <v>46113</v>
      </c>
      <c r="C146" t="s">
        <v>183</v>
      </c>
      <c r="D146" t="s">
        <v>17</v>
      </c>
      <c r="E146" t="s">
        <v>34</v>
      </c>
      <c r="F146" t="s">
        <v>35</v>
      </c>
      <c r="G146" t="s">
        <v>14</v>
      </c>
      <c r="H146" s="3">
        <v>8536</v>
      </c>
      <c r="I146" t="s">
        <v>23</v>
      </c>
    </row>
    <row r="147" spans="1:9" x14ac:dyDescent="0.35">
      <c r="A147" t="s">
        <v>185</v>
      </c>
      <c r="B147" s="2">
        <v>46114</v>
      </c>
      <c r="C147" t="s">
        <v>183</v>
      </c>
      <c r="D147" t="s">
        <v>17</v>
      </c>
      <c r="E147" t="s">
        <v>26</v>
      </c>
      <c r="F147" t="s">
        <v>52</v>
      </c>
      <c r="G147" t="s">
        <v>47</v>
      </c>
      <c r="H147" s="3">
        <v>9108</v>
      </c>
      <c r="I147" t="s">
        <v>19</v>
      </c>
    </row>
    <row r="148" spans="1:9" x14ac:dyDescent="0.35">
      <c r="A148" t="s">
        <v>186</v>
      </c>
      <c r="B148" s="2">
        <v>46115</v>
      </c>
      <c r="C148" t="s">
        <v>183</v>
      </c>
      <c r="D148" t="s">
        <v>17</v>
      </c>
      <c r="E148" t="s">
        <v>34</v>
      </c>
      <c r="F148" t="s">
        <v>13</v>
      </c>
      <c r="G148" t="s">
        <v>32</v>
      </c>
      <c r="H148" s="3">
        <v>9328</v>
      </c>
      <c r="I148" t="s">
        <v>19</v>
      </c>
    </row>
    <row r="149" spans="1:9" x14ac:dyDescent="0.35">
      <c r="A149" t="s">
        <v>187</v>
      </c>
      <c r="B149" s="2">
        <v>46116</v>
      </c>
      <c r="C149" t="s">
        <v>183</v>
      </c>
      <c r="D149" t="s">
        <v>11</v>
      </c>
      <c r="E149" t="s">
        <v>34</v>
      </c>
      <c r="F149" t="s">
        <v>37</v>
      </c>
      <c r="G149" t="s">
        <v>14</v>
      </c>
      <c r="H149" s="3">
        <v>7629</v>
      </c>
      <c r="I149" t="s">
        <v>19</v>
      </c>
    </row>
    <row r="150" spans="1:9" x14ac:dyDescent="0.35">
      <c r="A150" t="s">
        <v>188</v>
      </c>
      <c r="B150" s="2">
        <v>46118</v>
      </c>
      <c r="C150" t="s">
        <v>183</v>
      </c>
      <c r="D150" t="s">
        <v>25</v>
      </c>
      <c r="E150" t="s">
        <v>34</v>
      </c>
      <c r="F150" t="s">
        <v>43</v>
      </c>
      <c r="G150" t="s">
        <v>29</v>
      </c>
      <c r="H150" s="3">
        <v>14341</v>
      </c>
      <c r="I150" t="s">
        <v>23</v>
      </c>
    </row>
    <row r="151" spans="1:9" x14ac:dyDescent="0.35">
      <c r="A151" t="s">
        <v>189</v>
      </c>
      <c r="B151" s="2">
        <v>46118</v>
      </c>
      <c r="C151" t="s">
        <v>183</v>
      </c>
      <c r="D151" t="s">
        <v>17</v>
      </c>
      <c r="E151" t="s">
        <v>26</v>
      </c>
      <c r="F151" t="s">
        <v>43</v>
      </c>
      <c r="G151" t="s">
        <v>47</v>
      </c>
      <c r="H151" s="3">
        <v>4635</v>
      </c>
      <c r="I151" t="s">
        <v>19</v>
      </c>
    </row>
    <row r="152" spans="1:9" x14ac:dyDescent="0.35">
      <c r="A152" t="s">
        <v>190</v>
      </c>
      <c r="B152" s="2">
        <v>46119</v>
      </c>
      <c r="C152" t="s">
        <v>183</v>
      </c>
      <c r="D152" t="s">
        <v>17</v>
      </c>
      <c r="E152" t="s">
        <v>12</v>
      </c>
      <c r="F152" t="s">
        <v>43</v>
      </c>
      <c r="G152" t="s">
        <v>47</v>
      </c>
      <c r="H152" s="3">
        <v>5977</v>
      </c>
      <c r="I152" t="s">
        <v>15</v>
      </c>
    </row>
    <row r="153" spans="1:9" x14ac:dyDescent="0.35">
      <c r="A153" t="s">
        <v>191</v>
      </c>
      <c r="B153" s="2">
        <v>46120</v>
      </c>
      <c r="C153" t="s">
        <v>183</v>
      </c>
      <c r="D153" t="s">
        <v>17</v>
      </c>
      <c r="E153" t="s">
        <v>12</v>
      </c>
      <c r="F153" t="s">
        <v>28</v>
      </c>
      <c r="G153" t="s">
        <v>55</v>
      </c>
      <c r="H153" s="3">
        <v>8213</v>
      </c>
      <c r="I153" t="s">
        <v>19</v>
      </c>
    </row>
    <row r="154" spans="1:9" x14ac:dyDescent="0.35">
      <c r="A154" t="s">
        <v>192</v>
      </c>
      <c r="B154" s="2">
        <v>46120</v>
      </c>
      <c r="C154" t="s">
        <v>183</v>
      </c>
      <c r="D154" t="s">
        <v>17</v>
      </c>
      <c r="E154" t="s">
        <v>26</v>
      </c>
      <c r="F154" t="s">
        <v>35</v>
      </c>
      <c r="G154" t="s">
        <v>18</v>
      </c>
      <c r="H154" s="3">
        <v>1972</v>
      </c>
      <c r="I154" t="s">
        <v>23</v>
      </c>
    </row>
    <row r="155" spans="1:9" x14ac:dyDescent="0.35">
      <c r="A155" t="s">
        <v>193</v>
      </c>
      <c r="B155" s="2">
        <v>46120</v>
      </c>
      <c r="C155" t="s">
        <v>183</v>
      </c>
      <c r="D155" t="s">
        <v>17</v>
      </c>
      <c r="E155" t="s">
        <v>21</v>
      </c>
      <c r="F155" t="s">
        <v>40</v>
      </c>
      <c r="G155" t="s">
        <v>18</v>
      </c>
      <c r="H155" s="3">
        <v>1638</v>
      </c>
      <c r="I155" t="s">
        <v>19</v>
      </c>
    </row>
    <row r="156" spans="1:9" x14ac:dyDescent="0.35">
      <c r="A156" t="s">
        <v>194</v>
      </c>
      <c r="B156" s="2">
        <v>46121</v>
      </c>
      <c r="C156" t="s">
        <v>183</v>
      </c>
      <c r="D156" t="s">
        <v>25</v>
      </c>
      <c r="E156" t="s">
        <v>26</v>
      </c>
      <c r="F156" t="s">
        <v>28</v>
      </c>
      <c r="G156" t="s">
        <v>29</v>
      </c>
      <c r="H156" s="3">
        <v>4621</v>
      </c>
      <c r="I156" t="s">
        <v>19</v>
      </c>
    </row>
    <row r="157" spans="1:9" x14ac:dyDescent="0.35">
      <c r="A157" t="s">
        <v>195</v>
      </c>
      <c r="B157" s="2">
        <v>46121</v>
      </c>
      <c r="C157" t="s">
        <v>183</v>
      </c>
      <c r="D157" t="s">
        <v>17</v>
      </c>
      <c r="E157" t="s">
        <v>21</v>
      </c>
      <c r="F157" t="s">
        <v>28</v>
      </c>
      <c r="G157" t="s">
        <v>14</v>
      </c>
      <c r="H157" s="3">
        <v>12151</v>
      </c>
      <c r="I157" t="s">
        <v>19</v>
      </c>
    </row>
    <row r="158" spans="1:9" x14ac:dyDescent="0.35">
      <c r="A158" t="s">
        <v>196</v>
      </c>
      <c r="B158" s="2">
        <v>46122</v>
      </c>
      <c r="C158" t="s">
        <v>183</v>
      </c>
      <c r="D158" t="s">
        <v>25</v>
      </c>
      <c r="E158" t="s">
        <v>26</v>
      </c>
      <c r="F158" t="s">
        <v>28</v>
      </c>
      <c r="G158" t="s">
        <v>32</v>
      </c>
      <c r="H158" s="3">
        <v>3777</v>
      </c>
      <c r="I158" t="s">
        <v>19</v>
      </c>
    </row>
    <row r="159" spans="1:9" x14ac:dyDescent="0.35">
      <c r="A159" t="s">
        <v>197</v>
      </c>
      <c r="B159" s="2">
        <v>46123</v>
      </c>
      <c r="C159" t="s">
        <v>183</v>
      </c>
      <c r="D159" t="s">
        <v>11</v>
      </c>
      <c r="E159" t="s">
        <v>26</v>
      </c>
      <c r="F159" t="s">
        <v>43</v>
      </c>
      <c r="G159" t="s">
        <v>18</v>
      </c>
      <c r="H159" s="3">
        <v>14802</v>
      </c>
      <c r="I159" t="s">
        <v>23</v>
      </c>
    </row>
    <row r="160" spans="1:9" x14ac:dyDescent="0.35">
      <c r="A160" t="s">
        <v>198</v>
      </c>
      <c r="B160" s="2">
        <v>46124</v>
      </c>
      <c r="C160" t="s">
        <v>183</v>
      </c>
      <c r="D160" t="s">
        <v>31</v>
      </c>
      <c r="E160" t="s">
        <v>21</v>
      </c>
      <c r="F160" t="s">
        <v>22</v>
      </c>
      <c r="G160" t="s">
        <v>32</v>
      </c>
      <c r="H160" s="3">
        <v>6148</v>
      </c>
      <c r="I160" t="s">
        <v>19</v>
      </c>
    </row>
    <row r="161" spans="1:9" x14ac:dyDescent="0.35">
      <c r="A161" t="s">
        <v>199</v>
      </c>
      <c r="B161" s="2">
        <v>46124</v>
      </c>
      <c r="C161" t="s">
        <v>183</v>
      </c>
      <c r="D161" t="s">
        <v>11</v>
      </c>
      <c r="E161" t="s">
        <v>26</v>
      </c>
      <c r="F161" t="s">
        <v>28</v>
      </c>
      <c r="G161" t="s">
        <v>41</v>
      </c>
      <c r="H161" s="3">
        <v>1930</v>
      </c>
      <c r="I161" t="s">
        <v>19</v>
      </c>
    </row>
    <row r="162" spans="1:9" x14ac:dyDescent="0.35">
      <c r="A162" t="s">
        <v>200</v>
      </c>
      <c r="B162" s="2">
        <v>46125</v>
      </c>
      <c r="C162" t="s">
        <v>183</v>
      </c>
      <c r="D162" t="s">
        <v>11</v>
      </c>
      <c r="E162" t="s">
        <v>12</v>
      </c>
      <c r="F162" t="s">
        <v>52</v>
      </c>
      <c r="G162" t="s">
        <v>29</v>
      </c>
      <c r="H162" s="3">
        <v>5197</v>
      </c>
      <c r="I162" t="s">
        <v>19</v>
      </c>
    </row>
    <row r="163" spans="1:9" x14ac:dyDescent="0.35">
      <c r="A163" t="s">
        <v>201</v>
      </c>
      <c r="B163" s="2">
        <v>46125</v>
      </c>
      <c r="C163" t="s">
        <v>183</v>
      </c>
      <c r="D163" t="s">
        <v>17</v>
      </c>
      <c r="E163" t="s">
        <v>34</v>
      </c>
      <c r="F163" t="s">
        <v>52</v>
      </c>
      <c r="G163" t="s">
        <v>38</v>
      </c>
      <c r="H163" s="3">
        <v>3928</v>
      </c>
      <c r="I163" t="s">
        <v>19</v>
      </c>
    </row>
    <row r="164" spans="1:9" x14ac:dyDescent="0.35">
      <c r="A164" t="s">
        <v>202</v>
      </c>
      <c r="B164" s="2">
        <v>46127</v>
      </c>
      <c r="C164" t="s">
        <v>183</v>
      </c>
      <c r="D164" t="s">
        <v>25</v>
      </c>
      <c r="E164" t="s">
        <v>26</v>
      </c>
      <c r="F164" t="s">
        <v>28</v>
      </c>
      <c r="G164" t="s">
        <v>18</v>
      </c>
      <c r="H164" s="3">
        <v>11784</v>
      </c>
      <c r="I164" t="s">
        <v>23</v>
      </c>
    </row>
    <row r="165" spans="1:9" x14ac:dyDescent="0.35">
      <c r="A165" t="s">
        <v>203</v>
      </c>
      <c r="B165" s="2">
        <v>46128</v>
      </c>
      <c r="C165" t="s">
        <v>183</v>
      </c>
      <c r="D165" t="s">
        <v>31</v>
      </c>
      <c r="E165" t="s">
        <v>21</v>
      </c>
      <c r="F165" t="s">
        <v>28</v>
      </c>
      <c r="G165" t="s">
        <v>41</v>
      </c>
      <c r="H165" s="3">
        <v>13246</v>
      </c>
      <c r="I165" t="s">
        <v>19</v>
      </c>
    </row>
    <row r="166" spans="1:9" x14ac:dyDescent="0.35">
      <c r="A166" t="s">
        <v>204</v>
      </c>
      <c r="B166" s="2">
        <v>46129</v>
      </c>
      <c r="C166" t="s">
        <v>183</v>
      </c>
      <c r="D166" t="s">
        <v>17</v>
      </c>
      <c r="E166" t="s">
        <v>34</v>
      </c>
      <c r="F166" t="s">
        <v>28</v>
      </c>
      <c r="G166" t="s">
        <v>41</v>
      </c>
      <c r="H166" s="3">
        <v>2412</v>
      </c>
      <c r="I166" t="s">
        <v>15</v>
      </c>
    </row>
    <row r="167" spans="1:9" x14ac:dyDescent="0.35">
      <c r="A167" t="s">
        <v>205</v>
      </c>
      <c r="B167" s="2">
        <v>46129</v>
      </c>
      <c r="C167" t="s">
        <v>183</v>
      </c>
      <c r="D167" t="s">
        <v>17</v>
      </c>
      <c r="E167" t="s">
        <v>21</v>
      </c>
      <c r="F167" t="s">
        <v>37</v>
      </c>
      <c r="G167" t="s">
        <v>38</v>
      </c>
      <c r="H167" s="3">
        <v>11600</v>
      </c>
      <c r="I167" t="s">
        <v>23</v>
      </c>
    </row>
    <row r="168" spans="1:9" x14ac:dyDescent="0.35">
      <c r="A168" t="s">
        <v>206</v>
      </c>
      <c r="B168" s="2">
        <v>46130</v>
      </c>
      <c r="C168" t="s">
        <v>183</v>
      </c>
      <c r="D168" t="s">
        <v>11</v>
      </c>
      <c r="E168" t="s">
        <v>21</v>
      </c>
      <c r="F168" t="s">
        <v>37</v>
      </c>
      <c r="G168" t="s">
        <v>29</v>
      </c>
      <c r="H168" s="3">
        <v>5667</v>
      </c>
      <c r="I168" t="s">
        <v>23</v>
      </c>
    </row>
    <row r="169" spans="1:9" x14ac:dyDescent="0.35">
      <c r="A169" t="s">
        <v>207</v>
      </c>
      <c r="B169" s="2">
        <v>46130</v>
      </c>
      <c r="C169" t="s">
        <v>183</v>
      </c>
      <c r="D169" t="s">
        <v>25</v>
      </c>
      <c r="E169" t="s">
        <v>34</v>
      </c>
      <c r="F169" t="s">
        <v>40</v>
      </c>
      <c r="G169" t="s">
        <v>55</v>
      </c>
      <c r="H169" s="3">
        <v>13119</v>
      </c>
      <c r="I169" t="s">
        <v>19</v>
      </c>
    </row>
    <row r="170" spans="1:9" x14ac:dyDescent="0.35">
      <c r="A170" t="s">
        <v>208</v>
      </c>
      <c r="B170" s="2">
        <v>46130</v>
      </c>
      <c r="C170" t="s">
        <v>183</v>
      </c>
      <c r="D170" t="s">
        <v>25</v>
      </c>
      <c r="E170" t="s">
        <v>12</v>
      </c>
      <c r="F170" t="s">
        <v>13</v>
      </c>
      <c r="G170" t="s">
        <v>41</v>
      </c>
      <c r="H170" s="3">
        <v>9682</v>
      </c>
      <c r="I170" t="s">
        <v>23</v>
      </c>
    </row>
    <row r="171" spans="1:9" x14ac:dyDescent="0.35">
      <c r="A171" t="s">
        <v>209</v>
      </c>
      <c r="B171" s="2">
        <v>46131</v>
      </c>
      <c r="C171" t="s">
        <v>183</v>
      </c>
      <c r="D171" t="s">
        <v>25</v>
      </c>
      <c r="E171" t="s">
        <v>12</v>
      </c>
      <c r="F171" t="s">
        <v>28</v>
      </c>
      <c r="G171" t="s">
        <v>18</v>
      </c>
      <c r="H171" s="3">
        <v>5405</v>
      </c>
      <c r="I171" t="s">
        <v>19</v>
      </c>
    </row>
    <row r="172" spans="1:9" x14ac:dyDescent="0.35">
      <c r="A172" t="s">
        <v>210</v>
      </c>
      <c r="B172" s="2">
        <v>46131</v>
      </c>
      <c r="C172" t="s">
        <v>183</v>
      </c>
      <c r="D172" t="s">
        <v>31</v>
      </c>
      <c r="E172" t="s">
        <v>34</v>
      </c>
      <c r="F172" t="s">
        <v>52</v>
      </c>
      <c r="G172" t="s">
        <v>47</v>
      </c>
      <c r="H172" s="3">
        <v>10527</v>
      </c>
      <c r="I172" t="s">
        <v>23</v>
      </c>
    </row>
    <row r="173" spans="1:9" x14ac:dyDescent="0.35">
      <c r="A173" t="s">
        <v>211</v>
      </c>
      <c r="B173" s="2">
        <v>46131</v>
      </c>
      <c r="C173" t="s">
        <v>183</v>
      </c>
      <c r="D173" t="s">
        <v>25</v>
      </c>
      <c r="E173" t="s">
        <v>26</v>
      </c>
      <c r="F173" t="s">
        <v>37</v>
      </c>
      <c r="G173" t="s">
        <v>18</v>
      </c>
      <c r="H173" s="3">
        <v>14408</v>
      </c>
      <c r="I173" t="s">
        <v>15</v>
      </c>
    </row>
    <row r="174" spans="1:9" x14ac:dyDescent="0.35">
      <c r="A174" t="s">
        <v>212</v>
      </c>
      <c r="B174" s="2">
        <v>46132</v>
      </c>
      <c r="C174" t="s">
        <v>183</v>
      </c>
      <c r="D174" t="s">
        <v>11</v>
      </c>
      <c r="E174" t="s">
        <v>34</v>
      </c>
      <c r="F174" t="s">
        <v>28</v>
      </c>
      <c r="G174" t="s">
        <v>38</v>
      </c>
      <c r="H174" s="3">
        <v>7802</v>
      </c>
      <c r="I174" t="s">
        <v>15</v>
      </c>
    </row>
    <row r="175" spans="1:9" x14ac:dyDescent="0.35">
      <c r="A175" t="s">
        <v>213</v>
      </c>
      <c r="B175" s="2">
        <v>46132</v>
      </c>
      <c r="C175" t="s">
        <v>183</v>
      </c>
      <c r="D175" t="s">
        <v>17</v>
      </c>
      <c r="E175" t="s">
        <v>21</v>
      </c>
      <c r="F175" t="s">
        <v>37</v>
      </c>
      <c r="G175" t="s">
        <v>18</v>
      </c>
      <c r="H175" s="3">
        <v>6847</v>
      </c>
      <c r="I175" t="s">
        <v>19</v>
      </c>
    </row>
    <row r="176" spans="1:9" x14ac:dyDescent="0.35">
      <c r="A176" t="s">
        <v>214</v>
      </c>
      <c r="B176" s="2">
        <v>46134</v>
      </c>
      <c r="C176" t="s">
        <v>183</v>
      </c>
      <c r="D176" t="s">
        <v>31</v>
      </c>
      <c r="E176" t="s">
        <v>21</v>
      </c>
      <c r="F176" t="s">
        <v>43</v>
      </c>
      <c r="G176" t="s">
        <v>32</v>
      </c>
      <c r="H176" s="3">
        <v>9539</v>
      </c>
      <c r="I176" t="s">
        <v>19</v>
      </c>
    </row>
    <row r="177" spans="1:9" x14ac:dyDescent="0.35">
      <c r="A177" t="s">
        <v>215</v>
      </c>
      <c r="B177" s="2">
        <v>46134</v>
      </c>
      <c r="C177" t="s">
        <v>183</v>
      </c>
      <c r="D177" t="s">
        <v>31</v>
      </c>
      <c r="E177" t="s">
        <v>26</v>
      </c>
      <c r="F177" t="s">
        <v>22</v>
      </c>
      <c r="G177" t="s">
        <v>18</v>
      </c>
      <c r="H177" s="3">
        <v>14739</v>
      </c>
      <c r="I177" t="s">
        <v>19</v>
      </c>
    </row>
    <row r="178" spans="1:9" x14ac:dyDescent="0.35">
      <c r="A178" t="s">
        <v>216</v>
      </c>
      <c r="B178" s="2">
        <v>46136</v>
      </c>
      <c r="C178" t="s">
        <v>183</v>
      </c>
      <c r="D178" t="s">
        <v>25</v>
      </c>
      <c r="E178" t="s">
        <v>34</v>
      </c>
      <c r="F178" t="s">
        <v>40</v>
      </c>
      <c r="G178" t="s">
        <v>32</v>
      </c>
      <c r="H178" s="3">
        <v>14543</v>
      </c>
      <c r="I178" t="s">
        <v>19</v>
      </c>
    </row>
    <row r="179" spans="1:9" x14ac:dyDescent="0.35">
      <c r="A179" t="s">
        <v>217</v>
      </c>
      <c r="B179" s="2">
        <v>46136</v>
      </c>
      <c r="C179" t="s">
        <v>183</v>
      </c>
      <c r="D179" t="s">
        <v>17</v>
      </c>
      <c r="E179" t="s">
        <v>21</v>
      </c>
      <c r="F179" t="s">
        <v>28</v>
      </c>
      <c r="G179" t="s">
        <v>47</v>
      </c>
      <c r="H179" s="3">
        <v>13428</v>
      </c>
      <c r="I179" t="s">
        <v>19</v>
      </c>
    </row>
    <row r="180" spans="1:9" x14ac:dyDescent="0.35">
      <c r="A180" t="s">
        <v>218</v>
      </c>
      <c r="B180" s="2">
        <v>46136</v>
      </c>
      <c r="C180" t="s">
        <v>183</v>
      </c>
      <c r="D180" t="s">
        <v>17</v>
      </c>
      <c r="E180" t="s">
        <v>26</v>
      </c>
      <c r="F180" t="s">
        <v>37</v>
      </c>
      <c r="G180" t="s">
        <v>38</v>
      </c>
      <c r="H180" s="3">
        <v>2238</v>
      </c>
      <c r="I180" t="s">
        <v>19</v>
      </c>
    </row>
    <row r="181" spans="1:9" x14ac:dyDescent="0.35">
      <c r="A181" t="s">
        <v>219</v>
      </c>
      <c r="B181" s="2">
        <v>46137</v>
      </c>
      <c r="C181" t="s">
        <v>183</v>
      </c>
      <c r="D181" t="s">
        <v>11</v>
      </c>
      <c r="E181" t="s">
        <v>12</v>
      </c>
      <c r="F181" t="s">
        <v>52</v>
      </c>
      <c r="G181" t="s">
        <v>29</v>
      </c>
      <c r="H181" s="3">
        <v>10863</v>
      </c>
      <c r="I181" t="s">
        <v>19</v>
      </c>
    </row>
    <row r="182" spans="1:9" x14ac:dyDescent="0.35">
      <c r="A182" t="s">
        <v>220</v>
      </c>
      <c r="B182" s="2">
        <v>46137</v>
      </c>
      <c r="C182" t="s">
        <v>183</v>
      </c>
      <c r="D182" t="s">
        <v>31</v>
      </c>
      <c r="E182" t="s">
        <v>21</v>
      </c>
      <c r="F182" t="s">
        <v>13</v>
      </c>
      <c r="G182" t="s">
        <v>41</v>
      </c>
      <c r="H182" s="3">
        <v>5271</v>
      </c>
      <c r="I182" t="s">
        <v>19</v>
      </c>
    </row>
    <row r="183" spans="1:9" x14ac:dyDescent="0.35">
      <c r="A183" t="s">
        <v>221</v>
      </c>
      <c r="B183" s="2">
        <v>46138</v>
      </c>
      <c r="C183" t="s">
        <v>183</v>
      </c>
      <c r="D183" t="s">
        <v>31</v>
      </c>
      <c r="E183" t="s">
        <v>21</v>
      </c>
      <c r="F183" t="s">
        <v>22</v>
      </c>
      <c r="G183" t="s">
        <v>32</v>
      </c>
      <c r="H183" s="3">
        <v>2588</v>
      </c>
      <c r="I183" t="s">
        <v>19</v>
      </c>
    </row>
    <row r="184" spans="1:9" x14ac:dyDescent="0.35">
      <c r="A184" t="s">
        <v>222</v>
      </c>
      <c r="B184" s="2">
        <v>46138</v>
      </c>
      <c r="C184" t="s">
        <v>183</v>
      </c>
      <c r="D184" t="s">
        <v>11</v>
      </c>
      <c r="E184" t="s">
        <v>12</v>
      </c>
      <c r="F184" t="s">
        <v>37</v>
      </c>
      <c r="G184" t="s">
        <v>14</v>
      </c>
      <c r="H184" s="3">
        <v>4779</v>
      </c>
      <c r="I184" t="s">
        <v>15</v>
      </c>
    </row>
    <row r="185" spans="1:9" x14ac:dyDescent="0.35">
      <c r="A185" t="s">
        <v>223</v>
      </c>
      <c r="B185" s="2">
        <v>46140</v>
      </c>
      <c r="C185" t="s">
        <v>183</v>
      </c>
      <c r="D185" t="s">
        <v>25</v>
      </c>
      <c r="E185" t="s">
        <v>12</v>
      </c>
      <c r="F185" t="s">
        <v>28</v>
      </c>
      <c r="G185" t="s">
        <v>14</v>
      </c>
      <c r="H185" s="3">
        <v>13239</v>
      </c>
      <c r="I185" t="s">
        <v>19</v>
      </c>
    </row>
    <row r="186" spans="1:9" x14ac:dyDescent="0.35">
      <c r="A186" t="s">
        <v>224</v>
      </c>
      <c r="B186" s="2">
        <v>46140</v>
      </c>
      <c r="C186" t="s">
        <v>183</v>
      </c>
      <c r="D186" t="s">
        <v>17</v>
      </c>
      <c r="E186" t="s">
        <v>21</v>
      </c>
      <c r="F186" t="s">
        <v>43</v>
      </c>
      <c r="G186" t="s">
        <v>14</v>
      </c>
      <c r="H186" s="3">
        <v>14816</v>
      </c>
      <c r="I186" t="s">
        <v>19</v>
      </c>
    </row>
    <row r="187" spans="1:9" x14ac:dyDescent="0.35">
      <c r="A187" t="s">
        <v>225</v>
      </c>
      <c r="B187" s="2">
        <v>46141</v>
      </c>
      <c r="C187" t="s">
        <v>183</v>
      </c>
      <c r="D187" t="s">
        <v>17</v>
      </c>
      <c r="E187" t="s">
        <v>21</v>
      </c>
      <c r="F187" t="s">
        <v>43</v>
      </c>
      <c r="G187" t="s">
        <v>29</v>
      </c>
      <c r="H187" s="3">
        <v>5630</v>
      </c>
      <c r="I187" t="s">
        <v>19</v>
      </c>
    </row>
    <row r="188" spans="1:9" x14ac:dyDescent="0.35">
      <c r="A188" t="s">
        <v>226</v>
      </c>
      <c r="B188" s="2">
        <v>46141</v>
      </c>
      <c r="C188" t="s">
        <v>183</v>
      </c>
      <c r="D188" t="s">
        <v>11</v>
      </c>
      <c r="E188" t="s">
        <v>26</v>
      </c>
      <c r="F188" t="s">
        <v>40</v>
      </c>
      <c r="G188" t="s">
        <v>18</v>
      </c>
      <c r="H188" s="3">
        <v>10367</v>
      </c>
      <c r="I188" t="s">
        <v>19</v>
      </c>
    </row>
    <row r="189" spans="1:9" x14ac:dyDescent="0.35">
      <c r="A189" t="s">
        <v>227</v>
      </c>
      <c r="B189" s="2">
        <v>46141</v>
      </c>
      <c r="C189" t="s">
        <v>183</v>
      </c>
      <c r="D189" t="s">
        <v>11</v>
      </c>
      <c r="E189" t="s">
        <v>21</v>
      </c>
      <c r="F189" t="s">
        <v>22</v>
      </c>
      <c r="G189" t="s">
        <v>41</v>
      </c>
      <c r="H189" s="3">
        <v>11867</v>
      </c>
      <c r="I189" t="s">
        <v>19</v>
      </c>
    </row>
    <row r="190" spans="1:9" x14ac:dyDescent="0.35">
      <c r="A190" t="s">
        <v>228</v>
      </c>
      <c r="B190" s="2">
        <v>46141</v>
      </c>
      <c r="C190" t="s">
        <v>183</v>
      </c>
      <c r="D190" t="s">
        <v>25</v>
      </c>
      <c r="E190" t="s">
        <v>12</v>
      </c>
      <c r="F190" t="s">
        <v>22</v>
      </c>
      <c r="G190" t="s">
        <v>14</v>
      </c>
      <c r="H190" s="3">
        <v>6817</v>
      </c>
      <c r="I190" t="s">
        <v>15</v>
      </c>
    </row>
    <row r="191" spans="1:9" x14ac:dyDescent="0.35">
      <c r="A191" t="s">
        <v>229</v>
      </c>
      <c r="B191" s="2">
        <v>46142</v>
      </c>
      <c r="C191" t="s">
        <v>183</v>
      </c>
      <c r="D191" t="s">
        <v>25</v>
      </c>
      <c r="E191" t="s">
        <v>21</v>
      </c>
      <c r="F191" t="s">
        <v>35</v>
      </c>
      <c r="G191" t="s">
        <v>29</v>
      </c>
      <c r="H191" s="3">
        <v>9488</v>
      </c>
      <c r="I191" t="s">
        <v>23</v>
      </c>
    </row>
    <row r="192" spans="1:9" x14ac:dyDescent="0.35">
      <c r="A192" t="s">
        <v>230</v>
      </c>
      <c r="B192" s="2">
        <v>46142</v>
      </c>
      <c r="C192" t="s">
        <v>183</v>
      </c>
      <c r="D192" t="s">
        <v>25</v>
      </c>
      <c r="E192" t="s">
        <v>26</v>
      </c>
      <c r="F192" t="s">
        <v>22</v>
      </c>
      <c r="G192" t="s">
        <v>55</v>
      </c>
      <c r="H192" s="3">
        <v>460</v>
      </c>
      <c r="I192" t="s">
        <v>19</v>
      </c>
    </row>
    <row r="193" spans="1:9" x14ac:dyDescent="0.35">
      <c r="A193" t="s">
        <v>231</v>
      </c>
      <c r="B193" s="2">
        <v>46143</v>
      </c>
      <c r="C193" t="s">
        <v>232</v>
      </c>
      <c r="D193" t="s">
        <v>31</v>
      </c>
      <c r="E193" t="s">
        <v>12</v>
      </c>
      <c r="F193" t="s">
        <v>28</v>
      </c>
      <c r="G193" t="s">
        <v>41</v>
      </c>
      <c r="H193" s="3">
        <v>10991</v>
      </c>
      <c r="I193" t="s">
        <v>19</v>
      </c>
    </row>
    <row r="194" spans="1:9" x14ac:dyDescent="0.35">
      <c r="A194" t="s">
        <v>233</v>
      </c>
      <c r="B194" s="2">
        <v>46144</v>
      </c>
      <c r="C194" t="s">
        <v>232</v>
      </c>
      <c r="D194" t="s">
        <v>17</v>
      </c>
      <c r="E194" t="s">
        <v>12</v>
      </c>
      <c r="F194" t="s">
        <v>13</v>
      </c>
      <c r="G194" t="s">
        <v>32</v>
      </c>
      <c r="H194" s="3">
        <v>863</v>
      </c>
      <c r="I194" t="s">
        <v>19</v>
      </c>
    </row>
    <row r="195" spans="1:9" x14ac:dyDescent="0.35">
      <c r="A195" t="s">
        <v>234</v>
      </c>
      <c r="B195" s="2">
        <v>46145</v>
      </c>
      <c r="C195" t="s">
        <v>232</v>
      </c>
      <c r="D195" t="s">
        <v>31</v>
      </c>
      <c r="E195" t="s">
        <v>26</v>
      </c>
      <c r="F195" t="s">
        <v>37</v>
      </c>
      <c r="G195" t="s">
        <v>14</v>
      </c>
      <c r="H195" s="3">
        <v>6372</v>
      </c>
      <c r="I195" t="s">
        <v>19</v>
      </c>
    </row>
    <row r="196" spans="1:9" x14ac:dyDescent="0.35">
      <c r="A196" t="s">
        <v>235</v>
      </c>
      <c r="B196" s="2">
        <v>46145</v>
      </c>
      <c r="C196" t="s">
        <v>232</v>
      </c>
      <c r="D196" t="s">
        <v>11</v>
      </c>
      <c r="E196" t="s">
        <v>12</v>
      </c>
      <c r="F196" t="s">
        <v>43</v>
      </c>
      <c r="G196" t="s">
        <v>38</v>
      </c>
      <c r="H196" s="3">
        <v>6324</v>
      </c>
      <c r="I196" t="s">
        <v>15</v>
      </c>
    </row>
    <row r="197" spans="1:9" x14ac:dyDescent="0.35">
      <c r="A197" t="s">
        <v>236</v>
      </c>
      <c r="B197" s="2">
        <v>46145</v>
      </c>
      <c r="C197" t="s">
        <v>232</v>
      </c>
      <c r="D197" t="s">
        <v>25</v>
      </c>
      <c r="E197" t="s">
        <v>12</v>
      </c>
      <c r="F197" t="s">
        <v>37</v>
      </c>
      <c r="G197" t="s">
        <v>38</v>
      </c>
      <c r="H197" s="3">
        <v>5319</v>
      </c>
      <c r="I197" t="s">
        <v>15</v>
      </c>
    </row>
    <row r="198" spans="1:9" x14ac:dyDescent="0.35">
      <c r="A198" t="s">
        <v>237</v>
      </c>
      <c r="B198" s="2">
        <v>46146</v>
      </c>
      <c r="C198" t="s">
        <v>232</v>
      </c>
      <c r="D198" t="s">
        <v>17</v>
      </c>
      <c r="E198" t="s">
        <v>26</v>
      </c>
      <c r="F198" t="s">
        <v>37</v>
      </c>
      <c r="G198" t="s">
        <v>55</v>
      </c>
      <c r="H198" s="3">
        <v>6708</v>
      </c>
      <c r="I198" t="s">
        <v>23</v>
      </c>
    </row>
    <row r="199" spans="1:9" x14ac:dyDescent="0.35">
      <c r="A199" t="s">
        <v>238</v>
      </c>
      <c r="B199" s="2">
        <v>46146</v>
      </c>
      <c r="C199" t="s">
        <v>232</v>
      </c>
      <c r="D199" t="s">
        <v>31</v>
      </c>
      <c r="E199" t="s">
        <v>21</v>
      </c>
      <c r="F199" t="s">
        <v>13</v>
      </c>
      <c r="G199" t="s">
        <v>32</v>
      </c>
      <c r="H199" s="3">
        <v>10815</v>
      </c>
      <c r="I199" t="s">
        <v>23</v>
      </c>
    </row>
    <row r="200" spans="1:9" x14ac:dyDescent="0.35">
      <c r="A200" t="s">
        <v>239</v>
      </c>
      <c r="B200" s="2">
        <v>46147</v>
      </c>
      <c r="C200" t="s">
        <v>232</v>
      </c>
      <c r="D200" t="s">
        <v>25</v>
      </c>
      <c r="E200" t="s">
        <v>34</v>
      </c>
      <c r="F200" t="s">
        <v>43</v>
      </c>
      <c r="G200" t="s">
        <v>38</v>
      </c>
      <c r="H200" s="3">
        <v>11472</v>
      </c>
      <c r="I200" t="s">
        <v>19</v>
      </c>
    </row>
    <row r="201" spans="1:9" x14ac:dyDescent="0.35">
      <c r="A201" t="s">
        <v>240</v>
      </c>
      <c r="B201" s="2">
        <v>46147</v>
      </c>
      <c r="C201" t="s">
        <v>232</v>
      </c>
      <c r="D201" t="s">
        <v>17</v>
      </c>
      <c r="E201" t="s">
        <v>21</v>
      </c>
      <c r="F201" t="s">
        <v>43</v>
      </c>
      <c r="G201" t="s">
        <v>55</v>
      </c>
      <c r="H201" s="3">
        <v>9386</v>
      </c>
      <c r="I201" t="s">
        <v>19</v>
      </c>
    </row>
    <row r="202" spans="1:9" x14ac:dyDescent="0.35">
      <c r="A202" t="s">
        <v>241</v>
      </c>
      <c r="B202" s="2">
        <v>46147</v>
      </c>
      <c r="C202" t="s">
        <v>232</v>
      </c>
      <c r="D202" t="s">
        <v>11</v>
      </c>
      <c r="E202" t="s">
        <v>21</v>
      </c>
      <c r="F202" t="s">
        <v>40</v>
      </c>
      <c r="G202" t="s">
        <v>55</v>
      </c>
      <c r="H202" s="3">
        <v>2908</v>
      </c>
      <c r="I202" t="s">
        <v>15</v>
      </c>
    </row>
    <row r="203" spans="1:9" x14ac:dyDescent="0.35">
      <c r="A203" t="s">
        <v>242</v>
      </c>
      <c r="B203" s="2">
        <v>46149</v>
      </c>
      <c r="C203" t="s">
        <v>232</v>
      </c>
      <c r="D203" t="s">
        <v>17</v>
      </c>
      <c r="E203" t="s">
        <v>26</v>
      </c>
      <c r="F203" t="s">
        <v>28</v>
      </c>
      <c r="G203" t="s">
        <v>55</v>
      </c>
      <c r="H203" s="3">
        <v>4593</v>
      </c>
      <c r="I203" t="s">
        <v>23</v>
      </c>
    </row>
    <row r="204" spans="1:9" x14ac:dyDescent="0.35">
      <c r="A204" t="s">
        <v>243</v>
      </c>
      <c r="B204" s="2">
        <v>46149</v>
      </c>
      <c r="C204" t="s">
        <v>232</v>
      </c>
      <c r="D204" t="s">
        <v>25</v>
      </c>
      <c r="E204" t="s">
        <v>34</v>
      </c>
      <c r="F204" t="s">
        <v>35</v>
      </c>
      <c r="G204" t="s">
        <v>18</v>
      </c>
      <c r="H204" s="3">
        <v>4001</v>
      </c>
      <c r="I204" t="s">
        <v>23</v>
      </c>
    </row>
    <row r="205" spans="1:9" x14ac:dyDescent="0.35">
      <c r="A205" t="s">
        <v>244</v>
      </c>
      <c r="B205" s="2">
        <v>46149</v>
      </c>
      <c r="C205" t="s">
        <v>232</v>
      </c>
      <c r="D205" t="s">
        <v>25</v>
      </c>
      <c r="E205" t="s">
        <v>34</v>
      </c>
      <c r="F205" t="s">
        <v>35</v>
      </c>
      <c r="G205" t="s">
        <v>47</v>
      </c>
      <c r="H205" s="3">
        <v>1099</v>
      </c>
      <c r="I205" t="s">
        <v>19</v>
      </c>
    </row>
    <row r="206" spans="1:9" x14ac:dyDescent="0.35">
      <c r="A206" t="s">
        <v>245</v>
      </c>
      <c r="B206" s="2">
        <v>46150</v>
      </c>
      <c r="C206" t="s">
        <v>232</v>
      </c>
      <c r="D206" t="s">
        <v>25</v>
      </c>
      <c r="E206" t="s">
        <v>34</v>
      </c>
      <c r="F206" t="s">
        <v>28</v>
      </c>
      <c r="G206" t="s">
        <v>47</v>
      </c>
      <c r="H206" s="3">
        <v>9896</v>
      </c>
      <c r="I206" t="s">
        <v>15</v>
      </c>
    </row>
    <row r="207" spans="1:9" x14ac:dyDescent="0.35">
      <c r="A207" t="s">
        <v>246</v>
      </c>
      <c r="B207" s="2">
        <v>46151</v>
      </c>
      <c r="C207" t="s">
        <v>232</v>
      </c>
      <c r="D207" t="s">
        <v>25</v>
      </c>
      <c r="E207" t="s">
        <v>26</v>
      </c>
      <c r="F207" t="s">
        <v>28</v>
      </c>
      <c r="G207" t="s">
        <v>14</v>
      </c>
      <c r="H207" s="3">
        <v>10454</v>
      </c>
      <c r="I207" t="s">
        <v>19</v>
      </c>
    </row>
    <row r="208" spans="1:9" x14ac:dyDescent="0.35">
      <c r="A208" t="s">
        <v>247</v>
      </c>
      <c r="B208" s="2">
        <v>46151</v>
      </c>
      <c r="C208" t="s">
        <v>232</v>
      </c>
      <c r="D208" t="s">
        <v>11</v>
      </c>
      <c r="E208" t="s">
        <v>34</v>
      </c>
      <c r="F208" t="s">
        <v>43</v>
      </c>
      <c r="G208" t="s">
        <v>29</v>
      </c>
      <c r="H208" s="3">
        <v>12429</v>
      </c>
      <c r="I208" t="s">
        <v>23</v>
      </c>
    </row>
    <row r="209" spans="1:9" x14ac:dyDescent="0.35">
      <c r="A209" t="s">
        <v>248</v>
      </c>
      <c r="B209" s="2">
        <v>46152</v>
      </c>
      <c r="C209" t="s">
        <v>232</v>
      </c>
      <c r="D209" t="s">
        <v>31</v>
      </c>
      <c r="E209" t="s">
        <v>34</v>
      </c>
      <c r="F209" t="s">
        <v>52</v>
      </c>
      <c r="G209" t="s">
        <v>47</v>
      </c>
      <c r="H209" s="3">
        <v>7755</v>
      </c>
      <c r="I209" t="s">
        <v>19</v>
      </c>
    </row>
    <row r="210" spans="1:9" x14ac:dyDescent="0.35">
      <c r="A210" t="s">
        <v>249</v>
      </c>
      <c r="B210" s="2">
        <v>46153</v>
      </c>
      <c r="C210" t="s">
        <v>232</v>
      </c>
      <c r="D210" t="s">
        <v>31</v>
      </c>
      <c r="E210" t="s">
        <v>26</v>
      </c>
      <c r="F210" t="s">
        <v>43</v>
      </c>
      <c r="G210" t="s">
        <v>32</v>
      </c>
      <c r="H210" s="3">
        <v>14701</v>
      </c>
      <c r="I210" t="s">
        <v>19</v>
      </c>
    </row>
    <row r="211" spans="1:9" x14ac:dyDescent="0.35">
      <c r="A211" t="s">
        <v>250</v>
      </c>
      <c r="B211" s="2">
        <v>46154</v>
      </c>
      <c r="C211" t="s">
        <v>232</v>
      </c>
      <c r="D211" t="s">
        <v>11</v>
      </c>
      <c r="E211" t="s">
        <v>34</v>
      </c>
      <c r="F211" t="s">
        <v>13</v>
      </c>
      <c r="G211" t="s">
        <v>55</v>
      </c>
      <c r="H211" s="3">
        <v>2892</v>
      </c>
      <c r="I211" t="s">
        <v>19</v>
      </c>
    </row>
    <row r="212" spans="1:9" x14ac:dyDescent="0.35">
      <c r="A212" t="s">
        <v>251</v>
      </c>
      <c r="B212" s="2">
        <v>46154</v>
      </c>
      <c r="C212" t="s">
        <v>232</v>
      </c>
      <c r="D212" t="s">
        <v>31</v>
      </c>
      <c r="E212" t="s">
        <v>26</v>
      </c>
      <c r="F212" t="s">
        <v>28</v>
      </c>
      <c r="G212" t="s">
        <v>14</v>
      </c>
      <c r="H212" s="3">
        <v>2799</v>
      </c>
      <c r="I212" t="s">
        <v>19</v>
      </c>
    </row>
    <row r="213" spans="1:9" x14ac:dyDescent="0.35">
      <c r="A213" t="s">
        <v>252</v>
      </c>
      <c r="B213" s="2">
        <v>46156</v>
      </c>
      <c r="C213" t="s">
        <v>232</v>
      </c>
      <c r="D213" t="s">
        <v>25</v>
      </c>
      <c r="E213" t="s">
        <v>26</v>
      </c>
      <c r="F213" t="s">
        <v>40</v>
      </c>
      <c r="G213" t="s">
        <v>41</v>
      </c>
      <c r="H213" s="3">
        <v>1265</v>
      </c>
      <c r="I213" t="s">
        <v>19</v>
      </c>
    </row>
    <row r="214" spans="1:9" x14ac:dyDescent="0.35">
      <c r="A214" t="s">
        <v>253</v>
      </c>
      <c r="B214" s="2">
        <v>46156</v>
      </c>
      <c r="C214" t="s">
        <v>232</v>
      </c>
      <c r="D214" t="s">
        <v>25</v>
      </c>
      <c r="E214" t="s">
        <v>34</v>
      </c>
      <c r="F214" t="s">
        <v>22</v>
      </c>
      <c r="G214" t="s">
        <v>18</v>
      </c>
      <c r="H214" s="3">
        <v>9562</v>
      </c>
      <c r="I214" t="s">
        <v>19</v>
      </c>
    </row>
    <row r="215" spans="1:9" x14ac:dyDescent="0.35">
      <c r="A215" t="s">
        <v>254</v>
      </c>
      <c r="B215" s="2">
        <v>46157</v>
      </c>
      <c r="C215" t="s">
        <v>232</v>
      </c>
      <c r="D215" t="s">
        <v>11</v>
      </c>
      <c r="E215" t="s">
        <v>34</v>
      </c>
      <c r="F215" t="s">
        <v>28</v>
      </c>
      <c r="G215" t="s">
        <v>47</v>
      </c>
      <c r="H215" s="3">
        <v>12533</v>
      </c>
      <c r="I215" t="s">
        <v>15</v>
      </c>
    </row>
    <row r="216" spans="1:9" x14ac:dyDescent="0.35">
      <c r="A216" t="s">
        <v>255</v>
      </c>
      <c r="B216" s="2">
        <v>46157</v>
      </c>
      <c r="C216" t="s">
        <v>232</v>
      </c>
      <c r="D216" t="s">
        <v>17</v>
      </c>
      <c r="E216" t="s">
        <v>21</v>
      </c>
      <c r="F216" t="s">
        <v>40</v>
      </c>
      <c r="G216" t="s">
        <v>18</v>
      </c>
      <c r="H216" s="3">
        <v>14183</v>
      </c>
      <c r="I216" t="s">
        <v>23</v>
      </c>
    </row>
    <row r="217" spans="1:9" x14ac:dyDescent="0.35">
      <c r="A217" t="s">
        <v>256</v>
      </c>
      <c r="B217" s="2">
        <v>46157</v>
      </c>
      <c r="C217" t="s">
        <v>232</v>
      </c>
      <c r="D217" t="s">
        <v>31</v>
      </c>
      <c r="E217" t="s">
        <v>12</v>
      </c>
      <c r="F217" t="s">
        <v>22</v>
      </c>
      <c r="G217" t="s">
        <v>47</v>
      </c>
      <c r="H217" s="3">
        <v>14176</v>
      </c>
      <c r="I217" t="s">
        <v>19</v>
      </c>
    </row>
    <row r="218" spans="1:9" x14ac:dyDescent="0.35">
      <c r="A218" t="s">
        <v>257</v>
      </c>
      <c r="B218" s="2">
        <v>46158</v>
      </c>
      <c r="C218" t="s">
        <v>232</v>
      </c>
      <c r="D218" t="s">
        <v>17</v>
      </c>
      <c r="E218" t="s">
        <v>34</v>
      </c>
      <c r="F218" t="s">
        <v>22</v>
      </c>
      <c r="G218" t="s">
        <v>55</v>
      </c>
      <c r="H218" s="3">
        <v>2126</v>
      </c>
      <c r="I218" t="s">
        <v>19</v>
      </c>
    </row>
    <row r="219" spans="1:9" x14ac:dyDescent="0.35">
      <c r="A219" t="s">
        <v>258</v>
      </c>
      <c r="B219" s="2">
        <v>46158</v>
      </c>
      <c r="C219" t="s">
        <v>232</v>
      </c>
      <c r="D219" t="s">
        <v>31</v>
      </c>
      <c r="E219" t="s">
        <v>21</v>
      </c>
      <c r="F219" t="s">
        <v>28</v>
      </c>
      <c r="G219" t="s">
        <v>14</v>
      </c>
      <c r="H219" s="3">
        <v>4138</v>
      </c>
      <c r="I219" t="s">
        <v>19</v>
      </c>
    </row>
    <row r="220" spans="1:9" x14ac:dyDescent="0.35">
      <c r="A220" t="s">
        <v>259</v>
      </c>
      <c r="B220" s="2">
        <v>46159</v>
      </c>
      <c r="C220" t="s">
        <v>232</v>
      </c>
      <c r="D220" t="s">
        <v>31</v>
      </c>
      <c r="E220" t="s">
        <v>12</v>
      </c>
      <c r="F220" t="s">
        <v>43</v>
      </c>
      <c r="G220" t="s">
        <v>55</v>
      </c>
      <c r="H220" s="3">
        <v>12950</v>
      </c>
      <c r="I220" t="s">
        <v>19</v>
      </c>
    </row>
    <row r="221" spans="1:9" x14ac:dyDescent="0.35">
      <c r="A221" t="s">
        <v>260</v>
      </c>
      <c r="B221" s="2">
        <v>46159</v>
      </c>
      <c r="C221" t="s">
        <v>232</v>
      </c>
      <c r="D221" t="s">
        <v>11</v>
      </c>
      <c r="E221" t="s">
        <v>34</v>
      </c>
      <c r="F221" t="s">
        <v>43</v>
      </c>
      <c r="G221" t="s">
        <v>29</v>
      </c>
      <c r="H221" s="3">
        <v>4111</v>
      </c>
      <c r="I221" t="s">
        <v>19</v>
      </c>
    </row>
    <row r="222" spans="1:9" x14ac:dyDescent="0.35">
      <c r="A222" t="s">
        <v>261</v>
      </c>
      <c r="B222" s="2">
        <v>46159</v>
      </c>
      <c r="C222" t="s">
        <v>232</v>
      </c>
      <c r="D222" t="s">
        <v>25</v>
      </c>
      <c r="E222" t="s">
        <v>12</v>
      </c>
      <c r="F222" t="s">
        <v>37</v>
      </c>
      <c r="G222" t="s">
        <v>14</v>
      </c>
      <c r="H222" s="3">
        <v>2196</v>
      </c>
      <c r="I222" t="s">
        <v>15</v>
      </c>
    </row>
    <row r="223" spans="1:9" x14ac:dyDescent="0.35">
      <c r="A223" t="s">
        <v>262</v>
      </c>
      <c r="B223" s="2">
        <v>46160</v>
      </c>
      <c r="C223" t="s">
        <v>232</v>
      </c>
      <c r="D223" t="s">
        <v>31</v>
      </c>
      <c r="E223" t="s">
        <v>34</v>
      </c>
      <c r="F223" t="s">
        <v>52</v>
      </c>
      <c r="G223" t="s">
        <v>18</v>
      </c>
      <c r="H223" s="3">
        <v>14573</v>
      </c>
      <c r="I223" t="s">
        <v>23</v>
      </c>
    </row>
    <row r="224" spans="1:9" x14ac:dyDescent="0.35">
      <c r="A224" t="s">
        <v>263</v>
      </c>
      <c r="B224" s="2">
        <v>46160</v>
      </c>
      <c r="C224" t="s">
        <v>232</v>
      </c>
      <c r="D224" t="s">
        <v>11</v>
      </c>
      <c r="E224" t="s">
        <v>34</v>
      </c>
      <c r="F224" t="s">
        <v>28</v>
      </c>
      <c r="G224" t="s">
        <v>55</v>
      </c>
      <c r="H224" s="3">
        <v>14004</v>
      </c>
      <c r="I224" t="s">
        <v>19</v>
      </c>
    </row>
    <row r="225" spans="1:9" x14ac:dyDescent="0.35">
      <c r="A225" t="s">
        <v>264</v>
      </c>
      <c r="B225" s="2">
        <v>46161</v>
      </c>
      <c r="C225" t="s">
        <v>232</v>
      </c>
      <c r="D225" t="s">
        <v>25</v>
      </c>
      <c r="E225" t="s">
        <v>26</v>
      </c>
      <c r="F225" t="s">
        <v>43</v>
      </c>
      <c r="G225" t="s">
        <v>29</v>
      </c>
      <c r="H225" s="3">
        <v>477</v>
      </c>
      <c r="I225" t="s">
        <v>19</v>
      </c>
    </row>
    <row r="226" spans="1:9" x14ac:dyDescent="0.35">
      <c r="A226" t="s">
        <v>265</v>
      </c>
      <c r="B226" s="2">
        <v>46161</v>
      </c>
      <c r="C226" t="s">
        <v>232</v>
      </c>
      <c r="D226" t="s">
        <v>31</v>
      </c>
      <c r="E226" t="s">
        <v>26</v>
      </c>
      <c r="F226" t="s">
        <v>40</v>
      </c>
      <c r="G226" t="s">
        <v>55</v>
      </c>
      <c r="H226" s="3">
        <v>2220</v>
      </c>
      <c r="I226" t="s">
        <v>19</v>
      </c>
    </row>
    <row r="227" spans="1:9" x14ac:dyDescent="0.35">
      <c r="A227" t="s">
        <v>266</v>
      </c>
      <c r="B227" s="2">
        <v>46162</v>
      </c>
      <c r="C227" t="s">
        <v>232</v>
      </c>
      <c r="D227" t="s">
        <v>25</v>
      </c>
      <c r="E227" t="s">
        <v>34</v>
      </c>
      <c r="F227" t="s">
        <v>37</v>
      </c>
      <c r="G227" t="s">
        <v>55</v>
      </c>
      <c r="H227" s="3">
        <v>1096</v>
      </c>
      <c r="I227" t="s">
        <v>15</v>
      </c>
    </row>
    <row r="228" spans="1:9" x14ac:dyDescent="0.35">
      <c r="A228" t="s">
        <v>267</v>
      </c>
      <c r="B228" s="2">
        <v>46162</v>
      </c>
      <c r="C228" t="s">
        <v>232</v>
      </c>
      <c r="D228" t="s">
        <v>25</v>
      </c>
      <c r="E228" t="s">
        <v>21</v>
      </c>
      <c r="F228" t="s">
        <v>52</v>
      </c>
      <c r="G228" t="s">
        <v>32</v>
      </c>
      <c r="H228" s="3">
        <v>12541</v>
      </c>
      <c r="I228" t="s">
        <v>23</v>
      </c>
    </row>
    <row r="229" spans="1:9" x14ac:dyDescent="0.35">
      <c r="A229" t="s">
        <v>268</v>
      </c>
      <c r="B229" s="2">
        <v>46165</v>
      </c>
      <c r="C229" t="s">
        <v>232</v>
      </c>
      <c r="D229" t="s">
        <v>31</v>
      </c>
      <c r="E229" t="s">
        <v>26</v>
      </c>
      <c r="F229" t="s">
        <v>37</v>
      </c>
      <c r="G229" t="s">
        <v>18</v>
      </c>
      <c r="H229" s="3">
        <v>1908</v>
      </c>
      <c r="I229" t="s">
        <v>19</v>
      </c>
    </row>
    <row r="230" spans="1:9" x14ac:dyDescent="0.35">
      <c r="A230" t="s">
        <v>269</v>
      </c>
      <c r="B230" s="2">
        <v>46165</v>
      </c>
      <c r="C230" t="s">
        <v>232</v>
      </c>
      <c r="D230" t="s">
        <v>25</v>
      </c>
      <c r="E230" t="s">
        <v>34</v>
      </c>
      <c r="F230" t="s">
        <v>22</v>
      </c>
      <c r="G230" t="s">
        <v>18</v>
      </c>
      <c r="H230" s="3">
        <v>3577</v>
      </c>
      <c r="I230" t="s">
        <v>19</v>
      </c>
    </row>
    <row r="231" spans="1:9" x14ac:dyDescent="0.35">
      <c r="A231" t="s">
        <v>270</v>
      </c>
      <c r="B231" s="2">
        <v>46166</v>
      </c>
      <c r="C231" t="s">
        <v>232</v>
      </c>
      <c r="D231" t="s">
        <v>25</v>
      </c>
      <c r="E231" t="s">
        <v>34</v>
      </c>
      <c r="F231" t="s">
        <v>35</v>
      </c>
      <c r="G231" t="s">
        <v>14</v>
      </c>
      <c r="H231" s="3">
        <v>11538</v>
      </c>
      <c r="I231" t="s">
        <v>15</v>
      </c>
    </row>
    <row r="232" spans="1:9" x14ac:dyDescent="0.35">
      <c r="A232" t="s">
        <v>271</v>
      </c>
      <c r="B232" s="2">
        <v>46166</v>
      </c>
      <c r="C232" t="s">
        <v>232</v>
      </c>
      <c r="D232" t="s">
        <v>31</v>
      </c>
      <c r="E232" t="s">
        <v>26</v>
      </c>
      <c r="F232" t="s">
        <v>52</v>
      </c>
      <c r="G232" t="s">
        <v>32</v>
      </c>
      <c r="H232" s="3">
        <v>9282</v>
      </c>
      <c r="I232" t="s">
        <v>15</v>
      </c>
    </row>
    <row r="233" spans="1:9" x14ac:dyDescent="0.35">
      <c r="A233" t="s">
        <v>272</v>
      </c>
      <c r="B233" s="2">
        <v>46167</v>
      </c>
      <c r="C233" t="s">
        <v>232</v>
      </c>
      <c r="D233" t="s">
        <v>17</v>
      </c>
      <c r="E233" t="s">
        <v>26</v>
      </c>
      <c r="F233" t="s">
        <v>37</v>
      </c>
      <c r="G233" t="s">
        <v>55</v>
      </c>
      <c r="H233" s="3">
        <v>4941</v>
      </c>
      <c r="I233" t="s">
        <v>23</v>
      </c>
    </row>
    <row r="234" spans="1:9" x14ac:dyDescent="0.35">
      <c r="A234" t="s">
        <v>273</v>
      </c>
      <c r="B234" s="2">
        <v>46170</v>
      </c>
      <c r="C234" t="s">
        <v>232</v>
      </c>
      <c r="D234" t="s">
        <v>11</v>
      </c>
      <c r="E234" t="s">
        <v>34</v>
      </c>
      <c r="F234" t="s">
        <v>37</v>
      </c>
      <c r="G234" t="s">
        <v>38</v>
      </c>
      <c r="H234" s="3">
        <v>9005</v>
      </c>
      <c r="I234" t="s">
        <v>23</v>
      </c>
    </row>
    <row r="235" spans="1:9" x14ac:dyDescent="0.35">
      <c r="A235" t="s">
        <v>274</v>
      </c>
      <c r="B235" s="2">
        <v>46170</v>
      </c>
      <c r="C235" t="s">
        <v>232</v>
      </c>
      <c r="D235" t="s">
        <v>17</v>
      </c>
      <c r="E235" t="s">
        <v>34</v>
      </c>
      <c r="F235" t="s">
        <v>35</v>
      </c>
      <c r="G235" t="s">
        <v>29</v>
      </c>
      <c r="H235" s="3">
        <v>4682</v>
      </c>
      <c r="I235" t="s">
        <v>23</v>
      </c>
    </row>
    <row r="236" spans="1:9" x14ac:dyDescent="0.35">
      <c r="A236" t="s">
        <v>275</v>
      </c>
      <c r="B236" s="2">
        <v>46170</v>
      </c>
      <c r="C236" t="s">
        <v>232</v>
      </c>
      <c r="D236" t="s">
        <v>31</v>
      </c>
      <c r="E236" t="s">
        <v>12</v>
      </c>
      <c r="F236" t="s">
        <v>22</v>
      </c>
      <c r="G236" t="s">
        <v>14</v>
      </c>
      <c r="H236" s="3">
        <v>12285</v>
      </c>
      <c r="I236" t="s">
        <v>19</v>
      </c>
    </row>
    <row r="237" spans="1:9" x14ac:dyDescent="0.35">
      <c r="A237" t="s">
        <v>276</v>
      </c>
      <c r="B237" s="2">
        <v>46174</v>
      </c>
      <c r="C237" t="s">
        <v>277</v>
      </c>
      <c r="D237" t="s">
        <v>17</v>
      </c>
      <c r="E237" t="s">
        <v>34</v>
      </c>
      <c r="F237" t="s">
        <v>22</v>
      </c>
      <c r="G237" t="s">
        <v>29</v>
      </c>
      <c r="H237" s="3">
        <v>6800</v>
      </c>
      <c r="I237" t="s">
        <v>19</v>
      </c>
    </row>
    <row r="238" spans="1:9" x14ac:dyDescent="0.35">
      <c r="A238" t="s">
        <v>278</v>
      </c>
      <c r="B238" s="2">
        <v>46174</v>
      </c>
      <c r="C238" t="s">
        <v>277</v>
      </c>
      <c r="D238" t="s">
        <v>17</v>
      </c>
      <c r="E238" t="s">
        <v>21</v>
      </c>
      <c r="F238" t="s">
        <v>43</v>
      </c>
      <c r="G238" t="s">
        <v>32</v>
      </c>
      <c r="H238" s="3">
        <v>13649</v>
      </c>
      <c r="I238" t="s">
        <v>19</v>
      </c>
    </row>
    <row r="239" spans="1:9" x14ac:dyDescent="0.35">
      <c r="A239" t="s">
        <v>279</v>
      </c>
      <c r="B239" s="2">
        <v>46174</v>
      </c>
      <c r="C239" t="s">
        <v>277</v>
      </c>
      <c r="D239" t="s">
        <v>11</v>
      </c>
      <c r="E239" t="s">
        <v>26</v>
      </c>
      <c r="F239" t="s">
        <v>40</v>
      </c>
      <c r="G239" t="s">
        <v>18</v>
      </c>
      <c r="H239" s="3">
        <v>11099</v>
      </c>
      <c r="I239" t="s">
        <v>15</v>
      </c>
    </row>
    <row r="240" spans="1:9" x14ac:dyDescent="0.35">
      <c r="A240" t="s">
        <v>280</v>
      </c>
      <c r="B240" s="2">
        <v>46175</v>
      </c>
      <c r="C240" t="s">
        <v>277</v>
      </c>
      <c r="D240" t="s">
        <v>17</v>
      </c>
      <c r="E240" t="s">
        <v>12</v>
      </c>
      <c r="F240" t="s">
        <v>35</v>
      </c>
      <c r="G240" t="s">
        <v>47</v>
      </c>
      <c r="H240" s="3">
        <v>11084</v>
      </c>
      <c r="I240" t="s">
        <v>19</v>
      </c>
    </row>
    <row r="241" spans="1:9" x14ac:dyDescent="0.35">
      <c r="A241" t="s">
        <v>281</v>
      </c>
      <c r="B241" s="2">
        <v>46176</v>
      </c>
      <c r="C241" t="s">
        <v>277</v>
      </c>
      <c r="D241" t="s">
        <v>11</v>
      </c>
      <c r="E241" t="s">
        <v>21</v>
      </c>
      <c r="F241" t="s">
        <v>35</v>
      </c>
      <c r="G241" t="s">
        <v>14</v>
      </c>
      <c r="H241" s="3">
        <v>11712</v>
      </c>
      <c r="I241" t="s">
        <v>19</v>
      </c>
    </row>
    <row r="242" spans="1:9" x14ac:dyDescent="0.35">
      <c r="A242" t="s">
        <v>282</v>
      </c>
      <c r="B242" s="2">
        <v>46176</v>
      </c>
      <c r="C242" t="s">
        <v>277</v>
      </c>
      <c r="D242" t="s">
        <v>11</v>
      </c>
      <c r="E242" t="s">
        <v>26</v>
      </c>
      <c r="F242" t="s">
        <v>22</v>
      </c>
      <c r="G242" t="s">
        <v>32</v>
      </c>
      <c r="H242" s="3">
        <v>6320</v>
      </c>
      <c r="I242" t="s">
        <v>19</v>
      </c>
    </row>
    <row r="243" spans="1:9" x14ac:dyDescent="0.35">
      <c r="A243" t="s">
        <v>283</v>
      </c>
      <c r="B243" s="2">
        <v>46176</v>
      </c>
      <c r="C243" t="s">
        <v>277</v>
      </c>
      <c r="D243" t="s">
        <v>17</v>
      </c>
      <c r="E243" t="s">
        <v>34</v>
      </c>
      <c r="F243" t="s">
        <v>40</v>
      </c>
      <c r="G243" t="s">
        <v>18</v>
      </c>
      <c r="H243" s="3">
        <v>2415</v>
      </c>
      <c r="I243" t="s">
        <v>23</v>
      </c>
    </row>
    <row r="244" spans="1:9" x14ac:dyDescent="0.35">
      <c r="A244" t="s">
        <v>284</v>
      </c>
      <c r="B244" s="2">
        <v>46176</v>
      </c>
      <c r="C244" t="s">
        <v>277</v>
      </c>
      <c r="D244" t="s">
        <v>25</v>
      </c>
      <c r="E244" t="s">
        <v>12</v>
      </c>
      <c r="F244" t="s">
        <v>28</v>
      </c>
      <c r="G244" t="s">
        <v>47</v>
      </c>
      <c r="H244" s="3">
        <v>7001</v>
      </c>
      <c r="I244" t="s">
        <v>23</v>
      </c>
    </row>
    <row r="245" spans="1:9" x14ac:dyDescent="0.35">
      <c r="A245" t="s">
        <v>285</v>
      </c>
      <c r="B245" s="2">
        <v>46176</v>
      </c>
      <c r="C245" t="s">
        <v>277</v>
      </c>
      <c r="D245" t="s">
        <v>31</v>
      </c>
      <c r="E245" t="s">
        <v>34</v>
      </c>
      <c r="F245" t="s">
        <v>22</v>
      </c>
      <c r="G245" t="s">
        <v>18</v>
      </c>
      <c r="H245" s="3">
        <v>13616</v>
      </c>
      <c r="I245" t="s">
        <v>23</v>
      </c>
    </row>
    <row r="246" spans="1:9" x14ac:dyDescent="0.35">
      <c r="A246" t="s">
        <v>286</v>
      </c>
      <c r="B246" s="2">
        <v>46177</v>
      </c>
      <c r="C246" t="s">
        <v>277</v>
      </c>
      <c r="D246" t="s">
        <v>31</v>
      </c>
      <c r="E246" t="s">
        <v>26</v>
      </c>
      <c r="F246" t="s">
        <v>43</v>
      </c>
      <c r="G246" t="s">
        <v>32</v>
      </c>
      <c r="H246" s="3">
        <v>6739</v>
      </c>
      <c r="I246" t="s">
        <v>23</v>
      </c>
    </row>
    <row r="247" spans="1:9" x14ac:dyDescent="0.35">
      <c r="A247" t="s">
        <v>287</v>
      </c>
      <c r="B247" s="2">
        <v>46178</v>
      </c>
      <c r="C247" t="s">
        <v>277</v>
      </c>
      <c r="D247" t="s">
        <v>31</v>
      </c>
      <c r="E247" t="s">
        <v>26</v>
      </c>
      <c r="F247" t="s">
        <v>13</v>
      </c>
      <c r="G247" t="s">
        <v>18</v>
      </c>
      <c r="H247" s="3">
        <v>1952</v>
      </c>
      <c r="I247" t="s">
        <v>19</v>
      </c>
    </row>
    <row r="248" spans="1:9" x14ac:dyDescent="0.35">
      <c r="A248" t="s">
        <v>288</v>
      </c>
      <c r="B248" s="2">
        <v>46179</v>
      </c>
      <c r="C248" t="s">
        <v>277</v>
      </c>
      <c r="D248" t="s">
        <v>25</v>
      </c>
      <c r="E248" t="s">
        <v>12</v>
      </c>
      <c r="F248" t="s">
        <v>52</v>
      </c>
      <c r="G248" t="s">
        <v>18</v>
      </c>
      <c r="H248" s="3">
        <v>9578</v>
      </c>
      <c r="I248" t="s">
        <v>23</v>
      </c>
    </row>
    <row r="249" spans="1:9" x14ac:dyDescent="0.35">
      <c r="A249" t="s">
        <v>289</v>
      </c>
      <c r="B249" s="2">
        <v>46180</v>
      </c>
      <c r="C249" t="s">
        <v>277</v>
      </c>
      <c r="D249" t="s">
        <v>17</v>
      </c>
      <c r="E249" t="s">
        <v>21</v>
      </c>
      <c r="F249" t="s">
        <v>43</v>
      </c>
      <c r="G249" t="s">
        <v>47</v>
      </c>
      <c r="H249" s="3">
        <v>406</v>
      </c>
      <c r="I249" t="s">
        <v>23</v>
      </c>
    </row>
    <row r="250" spans="1:9" x14ac:dyDescent="0.35">
      <c r="A250" t="s">
        <v>290</v>
      </c>
      <c r="B250" s="2">
        <v>46180</v>
      </c>
      <c r="C250" t="s">
        <v>277</v>
      </c>
      <c r="D250" t="s">
        <v>17</v>
      </c>
      <c r="E250" t="s">
        <v>12</v>
      </c>
      <c r="F250" t="s">
        <v>22</v>
      </c>
      <c r="G250" t="s">
        <v>55</v>
      </c>
      <c r="H250" s="3">
        <v>5942</v>
      </c>
      <c r="I250" t="s">
        <v>19</v>
      </c>
    </row>
    <row r="251" spans="1:9" x14ac:dyDescent="0.35">
      <c r="A251" t="s">
        <v>291</v>
      </c>
      <c r="B251" s="2">
        <v>46181</v>
      </c>
      <c r="C251" t="s">
        <v>277</v>
      </c>
      <c r="D251" t="s">
        <v>11</v>
      </c>
      <c r="E251" t="s">
        <v>34</v>
      </c>
      <c r="F251" t="s">
        <v>35</v>
      </c>
      <c r="G251" t="s">
        <v>14</v>
      </c>
      <c r="H251" s="3">
        <v>7217</v>
      </c>
      <c r="I251" t="s">
        <v>23</v>
      </c>
    </row>
    <row r="252" spans="1:9" x14ac:dyDescent="0.35">
      <c r="A252" t="s">
        <v>292</v>
      </c>
      <c r="B252" s="2">
        <v>46182</v>
      </c>
      <c r="C252" t="s">
        <v>277</v>
      </c>
      <c r="D252" t="s">
        <v>25</v>
      </c>
      <c r="E252" t="s">
        <v>12</v>
      </c>
      <c r="F252" t="s">
        <v>37</v>
      </c>
      <c r="G252" t="s">
        <v>14</v>
      </c>
      <c r="H252" s="3">
        <v>11054</v>
      </c>
      <c r="I252" t="s">
        <v>19</v>
      </c>
    </row>
    <row r="253" spans="1:9" x14ac:dyDescent="0.35">
      <c r="A253" t="s">
        <v>293</v>
      </c>
      <c r="B253" s="2">
        <v>46182</v>
      </c>
      <c r="C253" t="s">
        <v>277</v>
      </c>
      <c r="D253" t="s">
        <v>11</v>
      </c>
      <c r="E253" t="s">
        <v>12</v>
      </c>
      <c r="F253" t="s">
        <v>52</v>
      </c>
      <c r="G253" t="s">
        <v>55</v>
      </c>
      <c r="H253" s="3">
        <v>7510</v>
      </c>
      <c r="I253" t="s">
        <v>19</v>
      </c>
    </row>
    <row r="254" spans="1:9" x14ac:dyDescent="0.35">
      <c r="A254" t="s">
        <v>294</v>
      </c>
      <c r="B254" s="2">
        <v>46183</v>
      </c>
      <c r="C254" t="s">
        <v>277</v>
      </c>
      <c r="D254" t="s">
        <v>25</v>
      </c>
      <c r="E254" t="s">
        <v>21</v>
      </c>
      <c r="F254" t="s">
        <v>13</v>
      </c>
      <c r="G254" t="s">
        <v>55</v>
      </c>
      <c r="H254" s="3">
        <v>5170</v>
      </c>
      <c r="I254" t="s">
        <v>19</v>
      </c>
    </row>
    <row r="255" spans="1:9" x14ac:dyDescent="0.35">
      <c r="A255" t="s">
        <v>295</v>
      </c>
      <c r="B255" s="2">
        <v>46183</v>
      </c>
      <c r="C255" t="s">
        <v>277</v>
      </c>
      <c r="D255" t="s">
        <v>25</v>
      </c>
      <c r="E255" t="s">
        <v>26</v>
      </c>
      <c r="F255" t="s">
        <v>37</v>
      </c>
      <c r="G255" t="s">
        <v>29</v>
      </c>
      <c r="H255" s="3">
        <v>2028</v>
      </c>
      <c r="I255" t="s">
        <v>19</v>
      </c>
    </row>
    <row r="256" spans="1:9" x14ac:dyDescent="0.35">
      <c r="A256" t="s">
        <v>296</v>
      </c>
      <c r="B256" s="2">
        <v>46185</v>
      </c>
      <c r="C256" t="s">
        <v>277</v>
      </c>
      <c r="D256" t="s">
        <v>17</v>
      </c>
      <c r="E256" t="s">
        <v>34</v>
      </c>
      <c r="F256" t="s">
        <v>22</v>
      </c>
      <c r="G256" t="s">
        <v>47</v>
      </c>
      <c r="H256" s="3">
        <v>11825</v>
      </c>
      <c r="I256" t="s">
        <v>23</v>
      </c>
    </row>
    <row r="257" spans="1:9" x14ac:dyDescent="0.35">
      <c r="A257" t="s">
        <v>297</v>
      </c>
      <c r="B257" s="2">
        <v>46185</v>
      </c>
      <c r="C257" t="s">
        <v>277</v>
      </c>
      <c r="D257" t="s">
        <v>11</v>
      </c>
      <c r="E257" t="s">
        <v>34</v>
      </c>
      <c r="F257" t="s">
        <v>35</v>
      </c>
      <c r="G257" t="s">
        <v>41</v>
      </c>
      <c r="H257" s="3">
        <v>4505</v>
      </c>
      <c r="I257" t="s">
        <v>19</v>
      </c>
    </row>
    <row r="258" spans="1:9" x14ac:dyDescent="0.35">
      <c r="A258" t="s">
        <v>298</v>
      </c>
      <c r="B258" s="2">
        <v>46186</v>
      </c>
      <c r="C258" t="s">
        <v>277</v>
      </c>
      <c r="D258" t="s">
        <v>25</v>
      </c>
      <c r="E258" t="s">
        <v>21</v>
      </c>
      <c r="F258" t="s">
        <v>37</v>
      </c>
      <c r="G258" t="s">
        <v>29</v>
      </c>
      <c r="H258" s="3">
        <v>6488</v>
      </c>
      <c r="I258" t="s">
        <v>19</v>
      </c>
    </row>
    <row r="259" spans="1:9" x14ac:dyDescent="0.35">
      <c r="A259" t="s">
        <v>299</v>
      </c>
      <c r="B259" s="2">
        <v>46186</v>
      </c>
      <c r="C259" t="s">
        <v>277</v>
      </c>
      <c r="D259" t="s">
        <v>25</v>
      </c>
      <c r="E259" t="s">
        <v>12</v>
      </c>
      <c r="F259" t="s">
        <v>13</v>
      </c>
      <c r="G259" t="s">
        <v>38</v>
      </c>
      <c r="H259" s="3">
        <v>14152</v>
      </c>
      <c r="I259" t="s">
        <v>23</v>
      </c>
    </row>
    <row r="260" spans="1:9" x14ac:dyDescent="0.35">
      <c r="A260" t="s">
        <v>300</v>
      </c>
      <c r="B260" s="2">
        <v>46186</v>
      </c>
      <c r="C260" t="s">
        <v>277</v>
      </c>
      <c r="D260" t="s">
        <v>25</v>
      </c>
      <c r="E260" t="s">
        <v>12</v>
      </c>
      <c r="F260" t="s">
        <v>43</v>
      </c>
      <c r="G260" t="s">
        <v>47</v>
      </c>
      <c r="H260" s="3">
        <v>6123</v>
      </c>
      <c r="I260" t="s">
        <v>19</v>
      </c>
    </row>
    <row r="261" spans="1:9" x14ac:dyDescent="0.35">
      <c r="A261" t="s">
        <v>301</v>
      </c>
      <c r="B261" s="2">
        <v>46187</v>
      </c>
      <c r="C261" t="s">
        <v>277</v>
      </c>
      <c r="D261" t="s">
        <v>17</v>
      </c>
      <c r="E261" t="s">
        <v>12</v>
      </c>
      <c r="F261" t="s">
        <v>13</v>
      </c>
      <c r="G261" t="s">
        <v>29</v>
      </c>
      <c r="H261" s="3">
        <v>12525</v>
      </c>
      <c r="I261" t="s">
        <v>19</v>
      </c>
    </row>
    <row r="262" spans="1:9" x14ac:dyDescent="0.35">
      <c r="A262" t="s">
        <v>302</v>
      </c>
      <c r="B262" s="2">
        <v>46187</v>
      </c>
      <c r="C262" t="s">
        <v>277</v>
      </c>
      <c r="D262" t="s">
        <v>31</v>
      </c>
      <c r="E262" t="s">
        <v>34</v>
      </c>
      <c r="F262" t="s">
        <v>35</v>
      </c>
      <c r="G262" t="s">
        <v>32</v>
      </c>
      <c r="H262" s="3">
        <v>10632</v>
      </c>
      <c r="I262" t="s">
        <v>19</v>
      </c>
    </row>
    <row r="263" spans="1:9" x14ac:dyDescent="0.35">
      <c r="A263" t="s">
        <v>303</v>
      </c>
      <c r="B263" s="2">
        <v>46187</v>
      </c>
      <c r="C263" t="s">
        <v>277</v>
      </c>
      <c r="D263" t="s">
        <v>31</v>
      </c>
      <c r="E263" t="s">
        <v>26</v>
      </c>
      <c r="F263" t="s">
        <v>28</v>
      </c>
      <c r="G263" t="s">
        <v>38</v>
      </c>
      <c r="H263" s="3">
        <v>2480</v>
      </c>
      <c r="I263" t="s">
        <v>15</v>
      </c>
    </row>
    <row r="264" spans="1:9" x14ac:dyDescent="0.35">
      <c r="A264" t="s">
        <v>304</v>
      </c>
      <c r="B264" s="2">
        <v>46188</v>
      </c>
      <c r="C264" t="s">
        <v>277</v>
      </c>
      <c r="D264" t="s">
        <v>25</v>
      </c>
      <c r="E264" t="s">
        <v>21</v>
      </c>
      <c r="F264" t="s">
        <v>22</v>
      </c>
      <c r="G264" t="s">
        <v>41</v>
      </c>
      <c r="H264" s="3">
        <v>4844</v>
      </c>
      <c r="I264" t="s">
        <v>23</v>
      </c>
    </row>
    <row r="265" spans="1:9" x14ac:dyDescent="0.35">
      <c r="A265" t="s">
        <v>305</v>
      </c>
      <c r="B265" s="2">
        <v>46189</v>
      </c>
      <c r="C265" t="s">
        <v>277</v>
      </c>
      <c r="D265" t="s">
        <v>11</v>
      </c>
      <c r="E265" t="s">
        <v>21</v>
      </c>
      <c r="F265" t="s">
        <v>28</v>
      </c>
      <c r="G265" t="s">
        <v>38</v>
      </c>
      <c r="H265" s="3">
        <v>8038</v>
      </c>
      <c r="I265" t="s">
        <v>19</v>
      </c>
    </row>
    <row r="266" spans="1:9" x14ac:dyDescent="0.35">
      <c r="A266" t="s">
        <v>306</v>
      </c>
      <c r="B266" s="2">
        <v>46190</v>
      </c>
      <c r="C266" t="s">
        <v>277</v>
      </c>
      <c r="D266" t="s">
        <v>17</v>
      </c>
      <c r="E266" t="s">
        <v>12</v>
      </c>
      <c r="F266" t="s">
        <v>13</v>
      </c>
      <c r="G266" t="s">
        <v>41</v>
      </c>
      <c r="H266" s="3">
        <v>176</v>
      </c>
      <c r="I266" t="s">
        <v>19</v>
      </c>
    </row>
    <row r="267" spans="1:9" x14ac:dyDescent="0.35">
      <c r="A267" t="s">
        <v>307</v>
      </c>
      <c r="B267" s="2">
        <v>46190</v>
      </c>
      <c r="C267" t="s">
        <v>277</v>
      </c>
      <c r="D267" t="s">
        <v>11</v>
      </c>
      <c r="E267" t="s">
        <v>26</v>
      </c>
      <c r="F267" t="s">
        <v>13</v>
      </c>
      <c r="G267" t="s">
        <v>38</v>
      </c>
      <c r="H267" s="3">
        <v>6857</v>
      </c>
      <c r="I267" t="s">
        <v>23</v>
      </c>
    </row>
    <row r="268" spans="1:9" x14ac:dyDescent="0.35">
      <c r="A268" t="s">
        <v>308</v>
      </c>
      <c r="B268" s="2">
        <v>46191</v>
      </c>
      <c r="C268" t="s">
        <v>277</v>
      </c>
      <c r="D268" t="s">
        <v>31</v>
      </c>
      <c r="E268" t="s">
        <v>21</v>
      </c>
      <c r="F268" t="s">
        <v>13</v>
      </c>
      <c r="G268" t="s">
        <v>41</v>
      </c>
      <c r="H268" s="3">
        <v>12971</v>
      </c>
      <c r="I268" t="s">
        <v>19</v>
      </c>
    </row>
    <row r="269" spans="1:9" x14ac:dyDescent="0.35">
      <c r="A269" t="s">
        <v>309</v>
      </c>
      <c r="B269" s="2">
        <v>46191</v>
      </c>
      <c r="C269" t="s">
        <v>277</v>
      </c>
      <c r="D269" t="s">
        <v>17</v>
      </c>
      <c r="E269" t="s">
        <v>21</v>
      </c>
      <c r="F269" t="s">
        <v>28</v>
      </c>
      <c r="G269" t="s">
        <v>41</v>
      </c>
      <c r="H269" s="3">
        <v>9191</v>
      </c>
      <c r="I269" t="s">
        <v>19</v>
      </c>
    </row>
    <row r="270" spans="1:9" x14ac:dyDescent="0.35">
      <c r="A270" t="s">
        <v>310</v>
      </c>
      <c r="B270" s="2">
        <v>46191</v>
      </c>
      <c r="C270" t="s">
        <v>277</v>
      </c>
      <c r="D270" t="s">
        <v>17</v>
      </c>
      <c r="E270" t="s">
        <v>26</v>
      </c>
      <c r="F270" t="s">
        <v>28</v>
      </c>
      <c r="G270" t="s">
        <v>38</v>
      </c>
      <c r="H270" s="3">
        <v>5534</v>
      </c>
      <c r="I270" t="s">
        <v>19</v>
      </c>
    </row>
    <row r="271" spans="1:9" x14ac:dyDescent="0.35">
      <c r="A271" t="s">
        <v>311</v>
      </c>
      <c r="B271" s="2">
        <v>46191</v>
      </c>
      <c r="C271" t="s">
        <v>277</v>
      </c>
      <c r="D271" t="s">
        <v>11</v>
      </c>
      <c r="E271" t="s">
        <v>12</v>
      </c>
      <c r="F271" t="s">
        <v>52</v>
      </c>
      <c r="G271" t="s">
        <v>29</v>
      </c>
      <c r="H271" s="3">
        <v>6273</v>
      </c>
      <c r="I271" t="s">
        <v>19</v>
      </c>
    </row>
    <row r="272" spans="1:9" x14ac:dyDescent="0.35">
      <c r="A272" t="s">
        <v>312</v>
      </c>
      <c r="B272" s="2">
        <v>46192</v>
      </c>
      <c r="C272" t="s">
        <v>277</v>
      </c>
      <c r="D272" t="s">
        <v>11</v>
      </c>
      <c r="E272" t="s">
        <v>21</v>
      </c>
      <c r="F272" t="s">
        <v>37</v>
      </c>
      <c r="G272" t="s">
        <v>47</v>
      </c>
      <c r="H272" s="3">
        <v>8473</v>
      </c>
      <c r="I272" t="s">
        <v>19</v>
      </c>
    </row>
    <row r="273" spans="1:9" x14ac:dyDescent="0.35">
      <c r="A273" t="s">
        <v>313</v>
      </c>
      <c r="B273" s="2">
        <v>46192</v>
      </c>
      <c r="C273" t="s">
        <v>277</v>
      </c>
      <c r="D273" t="s">
        <v>17</v>
      </c>
      <c r="E273" t="s">
        <v>21</v>
      </c>
      <c r="F273" t="s">
        <v>22</v>
      </c>
      <c r="G273" t="s">
        <v>47</v>
      </c>
      <c r="H273" s="3">
        <v>1345</v>
      </c>
      <c r="I273" t="s">
        <v>23</v>
      </c>
    </row>
    <row r="274" spans="1:9" x14ac:dyDescent="0.35">
      <c r="A274" t="s">
        <v>314</v>
      </c>
      <c r="B274" s="2">
        <v>46192</v>
      </c>
      <c r="C274" t="s">
        <v>277</v>
      </c>
      <c r="D274" t="s">
        <v>17</v>
      </c>
      <c r="E274" t="s">
        <v>21</v>
      </c>
      <c r="F274" t="s">
        <v>28</v>
      </c>
      <c r="G274" t="s">
        <v>29</v>
      </c>
      <c r="H274" s="3">
        <v>3162</v>
      </c>
      <c r="I274" t="s">
        <v>19</v>
      </c>
    </row>
    <row r="275" spans="1:9" x14ac:dyDescent="0.35">
      <c r="A275" t="s">
        <v>315</v>
      </c>
      <c r="B275" s="2">
        <v>46193</v>
      </c>
      <c r="C275" t="s">
        <v>277</v>
      </c>
      <c r="D275" t="s">
        <v>17</v>
      </c>
      <c r="E275" t="s">
        <v>26</v>
      </c>
      <c r="F275" t="s">
        <v>13</v>
      </c>
      <c r="G275" t="s">
        <v>38</v>
      </c>
      <c r="H275" s="3">
        <v>8558</v>
      </c>
      <c r="I275" t="s">
        <v>19</v>
      </c>
    </row>
    <row r="276" spans="1:9" x14ac:dyDescent="0.35">
      <c r="A276" t="s">
        <v>316</v>
      </c>
      <c r="B276" s="2">
        <v>46193</v>
      </c>
      <c r="C276" t="s">
        <v>277</v>
      </c>
      <c r="D276" t="s">
        <v>11</v>
      </c>
      <c r="E276" t="s">
        <v>21</v>
      </c>
      <c r="F276" t="s">
        <v>28</v>
      </c>
      <c r="G276" t="s">
        <v>18</v>
      </c>
      <c r="H276" s="3">
        <v>9597</v>
      </c>
      <c r="I276" t="s">
        <v>19</v>
      </c>
    </row>
    <row r="277" spans="1:9" x14ac:dyDescent="0.35">
      <c r="A277" t="s">
        <v>317</v>
      </c>
      <c r="B277" s="2">
        <v>46193</v>
      </c>
      <c r="C277" t="s">
        <v>277</v>
      </c>
      <c r="D277" t="s">
        <v>25</v>
      </c>
      <c r="E277" t="s">
        <v>26</v>
      </c>
      <c r="F277" t="s">
        <v>37</v>
      </c>
      <c r="G277" t="s">
        <v>18</v>
      </c>
      <c r="H277" s="3">
        <v>10488</v>
      </c>
      <c r="I277" t="s">
        <v>19</v>
      </c>
    </row>
    <row r="278" spans="1:9" x14ac:dyDescent="0.35">
      <c r="A278" t="s">
        <v>318</v>
      </c>
      <c r="B278" s="2">
        <v>46195</v>
      </c>
      <c r="C278" t="s">
        <v>277</v>
      </c>
      <c r="D278" t="s">
        <v>17</v>
      </c>
      <c r="E278" t="s">
        <v>26</v>
      </c>
      <c r="F278" t="s">
        <v>37</v>
      </c>
      <c r="G278" t="s">
        <v>41</v>
      </c>
      <c r="H278" s="3">
        <v>11177</v>
      </c>
      <c r="I278" t="s">
        <v>23</v>
      </c>
    </row>
    <row r="279" spans="1:9" x14ac:dyDescent="0.35">
      <c r="A279" t="s">
        <v>319</v>
      </c>
      <c r="B279" s="2">
        <v>46195</v>
      </c>
      <c r="C279" t="s">
        <v>277</v>
      </c>
      <c r="D279" t="s">
        <v>17</v>
      </c>
      <c r="E279" t="s">
        <v>26</v>
      </c>
      <c r="F279" t="s">
        <v>13</v>
      </c>
      <c r="G279" t="s">
        <v>41</v>
      </c>
      <c r="H279" s="3">
        <v>2197</v>
      </c>
      <c r="I279" t="s">
        <v>15</v>
      </c>
    </row>
    <row r="280" spans="1:9" x14ac:dyDescent="0.35">
      <c r="A280" t="s">
        <v>320</v>
      </c>
      <c r="B280" s="2">
        <v>46196</v>
      </c>
      <c r="C280" t="s">
        <v>277</v>
      </c>
      <c r="D280" t="s">
        <v>11</v>
      </c>
      <c r="E280" t="s">
        <v>34</v>
      </c>
      <c r="F280" t="s">
        <v>22</v>
      </c>
      <c r="G280" t="s">
        <v>47</v>
      </c>
      <c r="H280" s="3">
        <v>5506</v>
      </c>
      <c r="I280" t="s">
        <v>19</v>
      </c>
    </row>
    <row r="281" spans="1:9" x14ac:dyDescent="0.35">
      <c r="A281" t="s">
        <v>321</v>
      </c>
      <c r="B281" s="2">
        <v>46196</v>
      </c>
      <c r="C281" t="s">
        <v>277</v>
      </c>
      <c r="D281" t="s">
        <v>31</v>
      </c>
      <c r="E281" t="s">
        <v>26</v>
      </c>
      <c r="F281" t="s">
        <v>35</v>
      </c>
      <c r="G281" t="s">
        <v>18</v>
      </c>
      <c r="H281" s="3">
        <v>7723</v>
      </c>
      <c r="I281" t="s">
        <v>19</v>
      </c>
    </row>
    <row r="282" spans="1:9" x14ac:dyDescent="0.35">
      <c r="A282" t="s">
        <v>322</v>
      </c>
      <c r="B282" s="2">
        <v>46197</v>
      </c>
      <c r="C282" t="s">
        <v>277</v>
      </c>
      <c r="D282" t="s">
        <v>25</v>
      </c>
      <c r="E282" t="s">
        <v>21</v>
      </c>
      <c r="F282" t="s">
        <v>22</v>
      </c>
      <c r="G282" t="s">
        <v>32</v>
      </c>
      <c r="H282" s="3">
        <v>6112</v>
      </c>
      <c r="I282" t="s">
        <v>19</v>
      </c>
    </row>
    <row r="283" spans="1:9" x14ac:dyDescent="0.35">
      <c r="A283" t="s">
        <v>323</v>
      </c>
      <c r="B283" s="2">
        <v>46197</v>
      </c>
      <c r="C283" t="s">
        <v>277</v>
      </c>
      <c r="D283" t="s">
        <v>17</v>
      </c>
      <c r="E283" t="s">
        <v>26</v>
      </c>
      <c r="F283" t="s">
        <v>37</v>
      </c>
      <c r="G283" t="s">
        <v>32</v>
      </c>
      <c r="H283" s="3">
        <v>4858</v>
      </c>
      <c r="I283" t="s">
        <v>19</v>
      </c>
    </row>
    <row r="284" spans="1:9" x14ac:dyDescent="0.35">
      <c r="A284" t="s">
        <v>324</v>
      </c>
      <c r="B284" s="2">
        <v>46197</v>
      </c>
      <c r="C284" t="s">
        <v>277</v>
      </c>
      <c r="D284" t="s">
        <v>25</v>
      </c>
      <c r="E284" t="s">
        <v>34</v>
      </c>
      <c r="F284" t="s">
        <v>43</v>
      </c>
      <c r="G284" t="s">
        <v>41</v>
      </c>
      <c r="H284" s="3">
        <v>2957</v>
      </c>
      <c r="I284" t="s">
        <v>23</v>
      </c>
    </row>
    <row r="285" spans="1:9" x14ac:dyDescent="0.35">
      <c r="A285" t="s">
        <v>325</v>
      </c>
      <c r="B285" s="2">
        <v>46198</v>
      </c>
      <c r="C285" t="s">
        <v>277</v>
      </c>
      <c r="D285" t="s">
        <v>31</v>
      </c>
      <c r="E285" t="s">
        <v>34</v>
      </c>
      <c r="F285" t="s">
        <v>22</v>
      </c>
      <c r="G285" t="s">
        <v>55</v>
      </c>
      <c r="H285" s="3">
        <v>12538</v>
      </c>
      <c r="I285" t="s">
        <v>23</v>
      </c>
    </row>
    <row r="286" spans="1:9" x14ac:dyDescent="0.35">
      <c r="A286" t="s">
        <v>326</v>
      </c>
      <c r="B286" s="2">
        <v>46199</v>
      </c>
      <c r="C286" t="s">
        <v>277</v>
      </c>
      <c r="D286" t="s">
        <v>17</v>
      </c>
      <c r="E286" t="s">
        <v>12</v>
      </c>
      <c r="F286" t="s">
        <v>52</v>
      </c>
      <c r="G286" t="s">
        <v>47</v>
      </c>
      <c r="H286" s="3">
        <v>9092</v>
      </c>
      <c r="I286" t="s">
        <v>19</v>
      </c>
    </row>
    <row r="287" spans="1:9" x14ac:dyDescent="0.35">
      <c r="A287" t="s">
        <v>327</v>
      </c>
      <c r="B287" s="2">
        <v>46199</v>
      </c>
      <c r="C287" t="s">
        <v>277</v>
      </c>
      <c r="D287" t="s">
        <v>25</v>
      </c>
      <c r="E287" t="s">
        <v>12</v>
      </c>
      <c r="F287" t="s">
        <v>22</v>
      </c>
      <c r="G287" t="s">
        <v>18</v>
      </c>
      <c r="H287" s="3">
        <v>12934</v>
      </c>
      <c r="I287" t="s">
        <v>23</v>
      </c>
    </row>
    <row r="288" spans="1:9" x14ac:dyDescent="0.35">
      <c r="A288" t="s">
        <v>328</v>
      </c>
      <c r="B288" s="2">
        <v>46199</v>
      </c>
      <c r="C288" t="s">
        <v>277</v>
      </c>
      <c r="D288" t="s">
        <v>17</v>
      </c>
      <c r="E288" t="s">
        <v>21</v>
      </c>
      <c r="F288" t="s">
        <v>40</v>
      </c>
      <c r="G288" t="s">
        <v>18</v>
      </c>
      <c r="H288" s="3">
        <v>11049</v>
      </c>
      <c r="I288" t="s">
        <v>23</v>
      </c>
    </row>
    <row r="289" spans="1:9" x14ac:dyDescent="0.35">
      <c r="A289" t="s">
        <v>329</v>
      </c>
      <c r="B289" s="2">
        <v>46199</v>
      </c>
      <c r="C289" t="s">
        <v>277</v>
      </c>
      <c r="D289" t="s">
        <v>31</v>
      </c>
      <c r="E289" t="s">
        <v>21</v>
      </c>
      <c r="F289" t="s">
        <v>22</v>
      </c>
      <c r="G289" t="s">
        <v>38</v>
      </c>
      <c r="H289" s="3">
        <v>4808</v>
      </c>
      <c r="I289" t="s">
        <v>19</v>
      </c>
    </row>
    <row r="290" spans="1:9" x14ac:dyDescent="0.35">
      <c r="A290" t="s">
        <v>330</v>
      </c>
      <c r="B290" s="2">
        <v>46200</v>
      </c>
      <c r="C290" t="s">
        <v>277</v>
      </c>
      <c r="D290" t="s">
        <v>31</v>
      </c>
      <c r="E290" t="s">
        <v>21</v>
      </c>
      <c r="F290" t="s">
        <v>37</v>
      </c>
      <c r="G290" t="s">
        <v>32</v>
      </c>
      <c r="H290" s="3">
        <v>2800</v>
      </c>
      <c r="I290" t="s">
        <v>19</v>
      </c>
    </row>
    <row r="291" spans="1:9" x14ac:dyDescent="0.35">
      <c r="A291" t="s">
        <v>331</v>
      </c>
      <c r="B291" s="2">
        <v>46201</v>
      </c>
      <c r="C291" t="s">
        <v>277</v>
      </c>
      <c r="D291" t="s">
        <v>11</v>
      </c>
      <c r="E291" t="s">
        <v>26</v>
      </c>
      <c r="F291" t="s">
        <v>22</v>
      </c>
      <c r="G291" t="s">
        <v>41</v>
      </c>
      <c r="H291" s="3">
        <v>11967</v>
      </c>
      <c r="I291" t="s">
        <v>19</v>
      </c>
    </row>
    <row r="292" spans="1:9" x14ac:dyDescent="0.35">
      <c r="A292" t="s">
        <v>332</v>
      </c>
      <c r="B292" s="2">
        <v>46202</v>
      </c>
      <c r="C292" t="s">
        <v>277</v>
      </c>
      <c r="D292" t="s">
        <v>11</v>
      </c>
      <c r="E292" t="s">
        <v>26</v>
      </c>
      <c r="F292" t="s">
        <v>28</v>
      </c>
      <c r="G292" t="s">
        <v>14</v>
      </c>
      <c r="H292" s="3">
        <v>5202</v>
      </c>
      <c r="I292" t="s">
        <v>19</v>
      </c>
    </row>
    <row r="293" spans="1:9" x14ac:dyDescent="0.35">
      <c r="A293" t="s">
        <v>333</v>
      </c>
      <c r="B293" s="2">
        <v>46203</v>
      </c>
      <c r="C293" t="s">
        <v>277</v>
      </c>
      <c r="D293" t="s">
        <v>25</v>
      </c>
      <c r="E293" t="s">
        <v>12</v>
      </c>
      <c r="F293" t="s">
        <v>37</v>
      </c>
      <c r="G293" t="s">
        <v>32</v>
      </c>
      <c r="H293" s="3">
        <v>1265</v>
      </c>
      <c r="I293" t="s">
        <v>15</v>
      </c>
    </row>
    <row r="294" spans="1:9" x14ac:dyDescent="0.35">
      <c r="A294" t="s">
        <v>334</v>
      </c>
      <c r="B294" s="2">
        <v>46203</v>
      </c>
      <c r="C294" t="s">
        <v>277</v>
      </c>
      <c r="D294" t="s">
        <v>11</v>
      </c>
      <c r="E294" t="s">
        <v>26</v>
      </c>
      <c r="F294" t="s">
        <v>37</v>
      </c>
      <c r="G294" t="s">
        <v>47</v>
      </c>
      <c r="H294" s="3">
        <v>9518</v>
      </c>
      <c r="I294" t="s">
        <v>19</v>
      </c>
    </row>
    <row r="295" spans="1:9" x14ac:dyDescent="0.35">
      <c r="A295" t="s">
        <v>335</v>
      </c>
      <c r="B295" s="2">
        <v>46203</v>
      </c>
      <c r="C295" t="s">
        <v>277</v>
      </c>
      <c r="D295" t="s">
        <v>11</v>
      </c>
      <c r="E295" t="s">
        <v>26</v>
      </c>
      <c r="F295" t="s">
        <v>37</v>
      </c>
      <c r="G295" t="s">
        <v>29</v>
      </c>
      <c r="H295" s="3">
        <v>9284</v>
      </c>
      <c r="I295" t="s">
        <v>15</v>
      </c>
    </row>
    <row r="296" spans="1:9" x14ac:dyDescent="0.35">
      <c r="A296" t="s">
        <v>336</v>
      </c>
      <c r="B296" s="2">
        <v>46203</v>
      </c>
      <c r="C296" t="s">
        <v>277</v>
      </c>
      <c r="D296" t="s">
        <v>11</v>
      </c>
      <c r="E296" t="s">
        <v>12</v>
      </c>
      <c r="F296" t="s">
        <v>37</v>
      </c>
      <c r="G296" t="s">
        <v>41</v>
      </c>
      <c r="H296" s="3">
        <v>5596</v>
      </c>
      <c r="I296" t="s">
        <v>15</v>
      </c>
    </row>
    <row r="297" spans="1:9" x14ac:dyDescent="0.35">
      <c r="A297" t="s">
        <v>337</v>
      </c>
      <c r="B297" s="2">
        <v>46204</v>
      </c>
      <c r="C297" t="s">
        <v>338</v>
      </c>
      <c r="D297" t="s">
        <v>17</v>
      </c>
      <c r="E297" t="s">
        <v>26</v>
      </c>
      <c r="F297" t="s">
        <v>35</v>
      </c>
      <c r="G297" t="s">
        <v>41</v>
      </c>
      <c r="H297" s="3">
        <v>14535</v>
      </c>
      <c r="I297" t="s">
        <v>15</v>
      </c>
    </row>
    <row r="298" spans="1:9" x14ac:dyDescent="0.35">
      <c r="A298" t="s">
        <v>339</v>
      </c>
      <c r="B298" s="2">
        <v>46204</v>
      </c>
      <c r="C298" t="s">
        <v>338</v>
      </c>
      <c r="D298" t="s">
        <v>25</v>
      </c>
      <c r="E298" t="s">
        <v>12</v>
      </c>
      <c r="F298" t="s">
        <v>43</v>
      </c>
      <c r="G298" t="s">
        <v>29</v>
      </c>
      <c r="H298" s="3">
        <v>1574</v>
      </c>
      <c r="I298" t="s">
        <v>15</v>
      </c>
    </row>
    <row r="299" spans="1:9" x14ac:dyDescent="0.35">
      <c r="A299" t="s">
        <v>340</v>
      </c>
      <c r="B299" s="2">
        <v>46204</v>
      </c>
      <c r="C299" t="s">
        <v>338</v>
      </c>
      <c r="D299" t="s">
        <v>11</v>
      </c>
      <c r="E299" t="s">
        <v>21</v>
      </c>
      <c r="F299" t="s">
        <v>52</v>
      </c>
      <c r="G299" t="s">
        <v>32</v>
      </c>
      <c r="H299" s="3">
        <v>2935</v>
      </c>
      <c r="I299" t="s">
        <v>19</v>
      </c>
    </row>
    <row r="300" spans="1:9" x14ac:dyDescent="0.35">
      <c r="A300" t="s">
        <v>341</v>
      </c>
      <c r="B300" s="2">
        <v>46204</v>
      </c>
      <c r="C300" t="s">
        <v>338</v>
      </c>
      <c r="D300" t="s">
        <v>25</v>
      </c>
      <c r="E300" t="s">
        <v>34</v>
      </c>
      <c r="F300" t="s">
        <v>13</v>
      </c>
      <c r="G300" t="s">
        <v>47</v>
      </c>
      <c r="H300" s="3">
        <v>11030</v>
      </c>
      <c r="I300" t="s">
        <v>19</v>
      </c>
    </row>
    <row r="301" spans="1:9" x14ac:dyDescent="0.35">
      <c r="A301" t="s">
        <v>342</v>
      </c>
      <c r="B301" s="2">
        <v>46204</v>
      </c>
      <c r="C301" t="s">
        <v>338</v>
      </c>
      <c r="D301" t="s">
        <v>17</v>
      </c>
      <c r="E301" t="s">
        <v>34</v>
      </c>
      <c r="F301" t="s">
        <v>28</v>
      </c>
      <c r="G301" t="s">
        <v>29</v>
      </c>
      <c r="H301" s="3">
        <v>12342</v>
      </c>
      <c r="I301" t="s">
        <v>23</v>
      </c>
    </row>
    <row r="302" spans="1:9" x14ac:dyDescent="0.35">
      <c r="A302" t="s">
        <v>343</v>
      </c>
      <c r="B302" s="2">
        <v>46205</v>
      </c>
      <c r="C302" t="s">
        <v>338</v>
      </c>
      <c r="D302" t="s">
        <v>31</v>
      </c>
      <c r="E302" t="s">
        <v>21</v>
      </c>
      <c r="F302" t="s">
        <v>28</v>
      </c>
      <c r="G302" t="s">
        <v>41</v>
      </c>
      <c r="H302" s="3">
        <v>8462</v>
      </c>
      <c r="I302" t="s">
        <v>19</v>
      </c>
    </row>
    <row r="303" spans="1:9" x14ac:dyDescent="0.35">
      <c r="A303" t="s">
        <v>344</v>
      </c>
      <c r="B303" s="2">
        <v>46206</v>
      </c>
      <c r="C303" t="s">
        <v>338</v>
      </c>
      <c r="D303" t="s">
        <v>17</v>
      </c>
      <c r="E303" t="s">
        <v>21</v>
      </c>
      <c r="F303" t="s">
        <v>52</v>
      </c>
      <c r="G303" t="s">
        <v>18</v>
      </c>
      <c r="H303" s="3">
        <v>8971</v>
      </c>
      <c r="I303" t="s">
        <v>19</v>
      </c>
    </row>
    <row r="304" spans="1:9" x14ac:dyDescent="0.35">
      <c r="A304" t="s">
        <v>345</v>
      </c>
      <c r="B304" s="2">
        <v>46206</v>
      </c>
      <c r="C304" t="s">
        <v>338</v>
      </c>
      <c r="D304" t="s">
        <v>17</v>
      </c>
      <c r="E304" t="s">
        <v>26</v>
      </c>
      <c r="F304" t="s">
        <v>40</v>
      </c>
      <c r="G304" t="s">
        <v>47</v>
      </c>
      <c r="H304" s="3">
        <v>13086</v>
      </c>
      <c r="I304" t="s">
        <v>19</v>
      </c>
    </row>
    <row r="305" spans="1:9" x14ac:dyDescent="0.35">
      <c r="A305" t="s">
        <v>346</v>
      </c>
      <c r="B305" s="2">
        <v>46207</v>
      </c>
      <c r="C305" t="s">
        <v>338</v>
      </c>
      <c r="D305" t="s">
        <v>31</v>
      </c>
      <c r="E305" t="s">
        <v>34</v>
      </c>
      <c r="F305" t="s">
        <v>35</v>
      </c>
      <c r="G305" t="s">
        <v>38</v>
      </c>
      <c r="H305" s="3">
        <v>14721</v>
      </c>
      <c r="I305" t="s">
        <v>23</v>
      </c>
    </row>
    <row r="306" spans="1:9" x14ac:dyDescent="0.35">
      <c r="A306" t="s">
        <v>347</v>
      </c>
      <c r="B306" s="2">
        <v>46207</v>
      </c>
      <c r="C306" t="s">
        <v>338</v>
      </c>
      <c r="D306" t="s">
        <v>31</v>
      </c>
      <c r="E306" t="s">
        <v>21</v>
      </c>
      <c r="F306" t="s">
        <v>37</v>
      </c>
      <c r="G306" t="s">
        <v>38</v>
      </c>
      <c r="H306" s="3">
        <v>1549</v>
      </c>
      <c r="I306" t="s">
        <v>19</v>
      </c>
    </row>
    <row r="307" spans="1:9" x14ac:dyDescent="0.35">
      <c r="A307" t="s">
        <v>348</v>
      </c>
      <c r="B307" s="2">
        <v>46208</v>
      </c>
      <c r="C307" t="s">
        <v>338</v>
      </c>
      <c r="D307" t="s">
        <v>11</v>
      </c>
      <c r="E307" t="s">
        <v>21</v>
      </c>
      <c r="F307" t="s">
        <v>37</v>
      </c>
      <c r="G307" t="s">
        <v>47</v>
      </c>
      <c r="H307" s="3">
        <v>3003</v>
      </c>
      <c r="I307" t="s">
        <v>19</v>
      </c>
    </row>
    <row r="308" spans="1:9" x14ac:dyDescent="0.35">
      <c r="A308" t="s">
        <v>349</v>
      </c>
      <c r="B308" s="2">
        <v>46209</v>
      </c>
      <c r="C308" t="s">
        <v>338</v>
      </c>
      <c r="D308" t="s">
        <v>25</v>
      </c>
      <c r="E308" t="s">
        <v>26</v>
      </c>
      <c r="F308" t="s">
        <v>35</v>
      </c>
      <c r="G308" t="s">
        <v>14</v>
      </c>
      <c r="H308" s="3">
        <v>14777</v>
      </c>
      <c r="I308" t="s">
        <v>19</v>
      </c>
    </row>
    <row r="309" spans="1:9" x14ac:dyDescent="0.35">
      <c r="A309" t="s">
        <v>350</v>
      </c>
      <c r="B309" s="2">
        <v>46209</v>
      </c>
      <c r="C309" t="s">
        <v>338</v>
      </c>
      <c r="D309" t="s">
        <v>25</v>
      </c>
      <c r="E309" t="s">
        <v>21</v>
      </c>
      <c r="F309" t="s">
        <v>22</v>
      </c>
      <c r="G309" t="s">
        <v>29</v>
      </c>
      <c r="H309" s="3">
        <v>1196</v>
      </c>
      <c r="I309" t="s">
        <v>19</v>
      </c>
    </row>
    <row r="310" spans="1:9" x14ac:dyDescent="0.35">
      <c r="A310" t="s">
        <v>351</v>
      </c>
      <c r="B310" s="2">
        <v>46210</v>
      </c>
      <c r="C310" t="s">
        <v>338</v>
      </c>
      <c r="D310" t="s">
        <v>11</v>
      </c>
      <c r="E310" t="s">
        <v>12</v>
      </c>
      <c r="F310" t="s">
        <v>22</v>
      </c>
      <c r="G310" t="s">
        <v>32</v>
      </c>
      <c r="H310" s="3">
        <v>11239</v>
      </c>
      <c r="I310" t="s">
        <v>15</v>
      </c>
    </row>
    <row r="311" spans="1:9" x14ac:dyDescent="0.35">
      <c r="A311" t="s">
        <v>352</v>
      </c>
      <c r="B311" s="2">
        <v>46211</v>
      </c>
      <c r="C311" t="s">
        <v>338</v>
      </c>
      <c r="D311" t="s">
        <v>25</v>
      </c>
      <c r="E311" t="s">
        <v>34</v>
      </c>
      <c r="F311" t="s">
        <v>22</v>
      </c>
      <c r="G311" t="s">
        <v>55</v>
      </c>
      <c r="H311" s="3">
        <v>8046</v>
      </c>
      <c r="I311" t="s">
        <v>19</v>
      </c>
    </row>
    <row r="312" spans="1:9" x14ac:dyDescent="0.35">
      <c r="A312" t="s">
        <v>353</v>
      </c>
      <c r="B312" s="2">
        <v>46213</v>
      </c>
      <c r="C312" t="s">
        <v>338</v>
      </c>
      <c r="D312" t="s">
        <v>31</v>
      </c>
      <c r="E312" t="s">
        <v>21</v>
      </c>
      <c r="F312" t="s">
        <v>22</v>
      </c>
      <c r="G312" t="s">
        <v>18</v>
      </c>
      <c r="H312" s="3">
        <v>9165</v>
      </c>
      <c r="I312" t="s">
        <v>19</v>
      </c>
    </row>
    <row r="313" spans="1:9" x14ac:dyDescent="0.35">
      <c r="A313" t="s">
        <v>354</v>
      </c>
      <c r="B313" s="2">
        <v>46214</v>
      </c>
      <c r="C313" t="s">
        <v>338</v>
      </c>
      <c r="D313" t="s">
        <v>17</v>
      </c>
      <c r="E313" t="s">
        <v>12</v>
      </c>
      <c r="F313" t="s">
        <v>13</v>
      </c>
      <c r="G313" t="s">
        <v>18</v>
      </c>
      <c r="H313" s="3">
        <v>2366</v>
      </c>
      <c r="I313" t="s">
        <v>23</v>
      </c>
    </row>
    <row r="314" spans="1:9" x14ac:dyDescent="0.35">
      <c r="A314" t="s">
        <v>355</v>
      </c>
      <c r="B314" s="2">
        <v>46214</v>
      </c>
      <c r="C314" t="s">
        <v>338</v>
      </c>
      <c r="D314" t="s">
        <v>11</v>
      </c>
      <c r="E314" t="s">
        <v>21</v>
      </c>
      <c r="F314" t="s">
        <v>43</v>
      </c>
      <c r="G314" t="s">
        <v>55</v>
      </c>
      <c r="H314" s="3">
        <v>7636</v>
      </c>
      <c r="I314" t="s">
        <v>19</v>
      </c>
    </row>
    <row r="315" spans="1:9" x14ac:dyDescent="0.35">
      <c r="A315" t="s">
        <v>356</v>
      </c>
      <c r="B315" s="2">
        <v>46215</v>
      </c>
      <c r="C315" t="s">
        <v>338</v>
      </c>
      <c r="D315" t="s">
        <v>25</v>
      </c>
      <c r="E315" t="s">
        <v>34</v>
      </c>
      <c r="F315" t="s">
        <v>35</v>
      </c>
      <c r="G315" t="s">
        <v>47</v>
      </c>
      <c r="H315" s="3">
        <v>11964</v>
      </c>
      <c r="I315" t="s">
        <v>23</v>
      </c>
    </row>
    <row r="316" spans="1:9" x14ac:dyDescent="0.35">
      <c r="A316" t="s">
        <v>357</v>
      </c>
      <c r="B316" s="2">
        <v>46216</v>
      </c>
      <c r="C316" t="s">
        <v>338</v>
      </c>
      <c r="D316" t="s">
        <v>25</v>
      </c>
      <c r="E316" t="s">
        <v>26</v>
      </c>
      <c r="F316" t="s">
        <v>13</v>
      </c>
      <c r="G316" t="s">
        <v>32</v>
      </c>
      <c r="H316" s="3">
        <v>12075</v>
      </c>
      <c r="I316" t="s">
        <v>19</v>
      </c>
    </row>
    <row r="317" spans="1:9" x14ac:dyDescent="0.35">
      <c r="A317" t="s">
        <v>358</v>
      </c>
      <c r="B317" s="2">
        <v>46216</v>
      </c>
      <c r="C317" t="s">
        <v>338</v>
      </c>
      <c r="D317" t="s">
        <v>17</v>
      </c>
      <c r="E317" t="s">
        <v>12</v>
      </c>
      <c r="F317" t="s">
        <v>40</v>
      </c>
      <c r="G317" t="s">
        <v>32</v>
      </c>
      <c r="H317" s="3">
        <v>7407</v>
      </c>
      <c r="I317" t="s">
        <v>19</v>
      </c>
    </row>
    <row r="318" spans="1:9" x14ac:dyDescent="0.35">
      <c r="A318" t="s">
        <v>359</v>
      </c>
      <c r="B318" s="2">
        <v>46217</v>
      </c>
      <c r="C318" t="s">
        <v>338</v>
      </c>
      <c r="D318" t="s">
        <v>17</v>
      </c>
      <c r="E318" t="s">
        <v>34</v>
      </c>
      <c r="F318" t="s">
        <v>43</v>
      </c>
      <c r="G318" t="s">
        <v>41</v>
      </c>
      <c r="H318" s="3">
        <v>9105</v>
      </c>
      <c r="I318" t="s">
        <v>19</v>
      </c>
    </row>
    <row r="319" spans="1:9" x14ac:dyDescent="0.35">
      <c r="A319" t="s">
        <v>360</v>
      </c>
      <c r="B319" s="2">
        <v>46217</v>
      </c>
      <c r="C319" t="s">
        <v>338</v>
      </c>
      <c r="D319" t="s">
        <v>25</v>
      </c>
      <c r="E319" t="s">
        <v>12</v>
      </c>
      <c r="F319" t="s">
        <v>28</v>
      </c>
      <c r="G319" t="s">
        <v>18</v>
      </c>
      <c r="H319" s="3">
        <v>6446</v>
      </c>
      <c r="I319" t="s">
        <v>19</v>
      </c>
    </row>
    <row r="320" spans="1:9" x14ac:dyDescent="0.35">
      <c r="A320" t="s">
        <v>361</v>
      </c>
      <c r="B320" s="2">
        <v>46217</v>
      </c>
      <c r="C320" t="s">
        <v>338</v>
      </c>
      <c r="D320" t="s">
        <v>11</v>
      </c>
      <c r="E320" t="s">
        <v>21</v>
      </c>
      <c r="F320" t="s">
        <v>22</v>
      </c>
      <c r="G320" t="s">
        <v>18</v>
      </c>
      <c r="H320" s="3">
        <v>11578</v>
      </c>
      <c r="I320" t="s">
        <v>15</v>
      </c>
    </row>
    <row r="321" spans="1:9" x14ac:dyDescent="0.35">
      <c r="A321" t="s">
        <v>362</v>
      </c>
      <c r="B321" s="2">
        <v>46218</v>
      </c>
      <c r="C321" t="s">
        <v>338</v>
      </c>
      <c r="D321" t="s">
        <v>11</v>
      </c>
      <c r="E321" t="s">
        <v>12</v>
      </c>
      <c r="F321" t="s">
        <v>13</v>
      </c>
      <c r="G321" t="s">
        <v>47</v>
      </c>
      <c r="H321" s="3">
        <v>11242</v>
      </c>
      <c r="I321" t="s">
        <v>15</v>
      </c>
    </row>
    <row r="322" spans="1:9" x14ac:dyDescent="0.35">
      <c r="A322" t="s">
        <v>363</v>
      </c>
      <c r="B322" s="2">
        <v>46218</v>
      </c>
      <c r="C322" t="s">
        <v>338</v>
      </c>
      <c r="D322" t="s">
        <v>25</v>
      </c>
      <c r="E322" t="s">
        <v>34</v>
      </c>
      <c r="F322" t="s">
        <v>22</v>
      </c>
      <c r="G322" t="s">
        <v>29</v>
      </c>
      <c r="H322" s="3">
        <v>7718</v>
      </c>
      <c r="I322" t="s">
        <v>15</v>
      </c>
    </row>
    <row r="323" spans="1:9" x14ac:dyDescent="0.35">
      <c r="A323" t="s">
        <v>364</v>
      </c>
      <c r="B323" s="2">
        <v>46218</v>
      </c>
      <c r="C323" t="s">
        <v>338</v>
      </c>
      <c r="D323" t="s">
        <v>25</v>
      </c>
      <c r="E323" t="s">
        <v>12</v>
      </c>
      <c r="F323" t="s">
        <v>40</v>
      </c>
      <c r="G323" t="s">
        <v>14</v>
      </c>
      <c r="H323" s="3">
        <v>8742</v>
      </c>
      <c r="I323" t="s">
        <v>15</v>
      </c>
    </row>
    <row r="324" spans="1:9" x14ac:dyDescent="0.35">
      <c r="A324" t="s">
        <v>365</v>
      </c>
      <c r="B324" s="2">
        <v>46219</v>
      </c>
      <c r="C324" t="s">
        <v>338</v>
      </c>
      <c r="D324" t="s">
        <v>11</v>
      </c>
      <c r="E324" t="s">
        <v>26</v>
      </c>
      <c r="F324" t="s">
        <v>43</v>
      </c>
      <c r="G324" t="s">
        <v>18</v>
      </c>
      <c r="H324" s="3">
        <v>6918</v>
      </c>
      <c r="I324" t="s">
        <v>19</v>
      </c>
    </row>
    <row r="325" spans="1:9" x14ac:dyDescent="0.35">
      <c r="A325" t="s">
        <v>366</v>
      </c>
      <c r="B325" s="2">
        <v>46219</v>
      </c>
      <c r="C325" t="s">
        <v>338</v>
      </c>
      <c r="D325" t="s">
        <v>11</v>
      </c>
      <c r="E325" t="s">
        <v>12</v>
      </c>
      <c r="F325" t="s">
        <v>52</v>
      </c>
      <c r="G325" t="s">
        <v>29</v>
      </c>
      <c r="H325" s="3">
        <v>1797</v>
      </c>
      <c r="I325" t="s">
        <v>19</v>
      </c>
    </row>
    <row r="326" spans="1:9" x14ac:dyDescent="0.35">
      <c r="A326" t="s">
        <v>367</v>
      </c>
      <c r="B326" s="2">
        <v>46219</v>
      </c>
      <c r="C326" t="s">
        <v>338</v>
      </c>
      <c r="D326" t="s">
        <v>11</v>
      </c>
      <c r="E326" t="s">
        <v>26</v>
      </c>
      <c r="F326" t="s">
        <v>52</v>
      </c>
      <c r="G326" t="s">
        <v>38</v>
      </c>
      <c r="H326" s="3">
        <v>6900</v>
      </c>
      <c r="I326" t="s">
        <v>15</v>
      </c>
    </row>
    <row r="327" spans="1:9" x14ac:dyDescent="0.35">
      <c r="A327" t="s">
        <v>368</v>
      </c>
      <c r="B327" s="2">
        <v>46220</v>
      </c>
      <c r="C327" t="s">
        <v>338</v>
      </c>
      <c r="D327" t="s">
        <v>25</v>
      </c>
      <c r="E327" t="s">
        <v>34</v>
      </c>
      <c r="F327" t="s">
        <v>13</v>
      </c>
      <c r="G327" t="s">
        <v>14</v>
      </c>
      <c r="H327" s="3">
        <v>7428</v>
      </c>
      <c r="I327" t="s">
        <v>15</v>
      </c>
    </row>
    <row r="328" spans="1:9" x14ac:dyDescent="0.35">
      <c r="A328" t="s">
        <v>369</v>
      </c>
      <c r="B328" s="2">
        <v>46221</v>
      </c>
      <c r="C328" t="s">
        <v>338</v>
      </c>
      <c r="D328" t="s">
        <v>25</v>
      </c>
      <c r="E328" t="s">
        <v>34</v>
      </c>
      <c r="F328" t="s">
        <v>52</v>
      </c>
      <c r="G328" t="s">
        <v>14</v>
      </c>
      <c r="H328" s="3">
        <v>12738</v>
      </c>
      <c r="I328" t="s">
        <v>19</v>
      </c>
    </row>
    <row r="329" spans="1:9" x14ac:dyDescent="0.35">
      <c r="A329" t="s">
        <v>370</v>
      </c>
      <c r="B329" s="2">
        <v>46221</v>
      </c>
      <c r="C329" t="s">
        <v>338</v>
      </c>
      <c r="D329" t="s">
        <v>31</v>
      </c>
      <c r="E329" t="s">
        <v>21</v>
      </c>
      <c r="F329" t="s">
        <v>22</v>
      </c>
      <c r="G329" t="s">
        <v>38</v>
      </c>
      <c r="H329" s="3">
        <v>4205</v>
      </c>
      <c r="I329" t="s">
        <v>19</v>
      </c>
    </row>
    <row r="330" spans="1:9" x14ac:dyDescent="0.35">
      <c r="A330" t="s">
        <v>371</v>
      </c>
      <c r="B330" s="2">
        <v>46224</v>
      </c>
      <c r="C330" t="s">
        <v>338</v>
      </c>
      <c r="D330" t="s">
        <v>11</v>
      </c>
      <c r="E330" t="s">
        <v>26</v>
      </c>
      <c r="F330" t="s">
        <v>43</v>
      </c>
      <c r="G330" t="s">
        <v>55</v>
      </c>
      <c r="H330" s="3">
        <v>1915</v>
      </c>
      <c r="I330" t="s">
        <v>19</v>
      </c>
    </row>
    <row r="331" spans="1:9" x14ac:dyDescent="0.35">
      <c r="A331" t="s">
        <v>372</v>
      </c>
      <c r="B331" s="2">
        <v>46224</v>
      </c>
      <c r="C331" t="s">
        <v>338</v>
      </c>
      <c r="D331" t="s">
        <v>25</v>
      </c>
      <c r="E331" t="s">
        <v>21</v>
      </c>
      <c r="F331" t="s">
        <v>13</v>
      </c>
      <c r="G331" t="s">
        <v>47</v>
      </c>
      <c r="H331" s="3">
        <v>13073</v>
      </c>
      <c r="I331" t="s">
        <v>19</v>
      </c>
    </row>
    <row r="332" spans="1:9" x14ac:dyDescent="0.35">
      <c r="A332" t="s">
        <v>373</v>
      </c>
      <c r="B332" s="2">
        <v>46225</v>
      </c>
      <c r="C332" t="s">
        <v>338</v>
      </c>
      <c r="D332" t="s">
        <v>11</v>
      </c>
      <c r="E332" t="s">
        <v>12</v>
      </c>
      <c r="F332" t="s">
        <v>22</v>
      </c>
      <c r="G332" t="s">
        <v>38</v>
      </c>
      <c r="H332" s="3">
        <v>6176</v>
      </c>
      <c r="I332" t="s">
        <v>15</v>
      </c>
    </row>
    <row r="333" spans="1:9" x14ac:dyDescent="0.35">
      <c r="A333" t="s">
        <v>374</v>
      </c>
      <c r="B333" s="2">
        <v>46226</v>
      </c>
      <c r="C333" t="s">
        <v>338</v>
      </c>
      <c r="D333" t="s">
        <v>17</v>
      </c>
      <c r="E333" t="s">
        <v>12</v>
      </c>
      <c r="F333" t="s">
        <v>35</v>
      </c>
      <c r="G333" t="s">
        <v>47</v>
      </c>
      <c r="H333" s="3">
        <v>6162</v>
      </c>
      <c r="I333" t="s">
        <v>19</v>
      </c>
    </row>
    <row r="334" spans="1:9" x14ac:dyDescent="0.35">
      <c r="A334" t="s">
        <v>375</v>
      </c>
      <c r="B334" s="2">
        <v>46227</v>
      </c>
      <c r="C334" t="s">
        <v>338</v>
      </c>
      <c r="D334" t="s">
        <v>17</v>
      </c>
      <c r="E334" t="s">
        <v>21</v>
      </c>
      <c r="F334" t="s">
        <v>13</v>
      </c>
      <c r="G334" t="s">
        <v>55</v>
      </c>
      <c r="H334" s="3">
        <v>7254</v>
      </c>
      <c r="I334" t="s">
        <v>23</v>
      </c>
    </row>
    <row r="335" spans="1:9" x14ac:dyDescent="0.35">
      <c r="A335" t="s">
        <v>376</v>
      </c>
      <c r="B335" s="2">
        <v>46228</v>
      </c>
      <c r="C335" t="s">
        <v>338</v>
      </c>
      <c r="D335" t="s">
        <v>17</v>
      </c>
      <c r="E335" t="s">
        <v>21</v>
      </c>
      <c r="F335" t="s">
        <v>28</v>
      </c>
      <c r="G335" t="s">
        <v>38</v>
      </c>
      <c r="H335" s="3">
        <v>14418</v>
      </c>
      <c r="I335" t="s">
        <v>19</v>
      </c>
    </row>
    <row r="336" spans="1:9" x14ac:dyDescent="0.35">
      <c r="A336" t="s">
        <v>377</v>
      </c>
      <c r="B336" s="2">
        <v>46228</v>
      </c>
      <c r="C336" t="s">
        <v>338</v>
      </c>
      <c r="D336" t="s">
        <v>11</v>
      </c>
      <c r="E336" t="s">
        <v>34</v>
      </c>
      <c r="F336" t="s">
        <v>13</v>
      </c>
      <c r="G336" t="s">
        <v>29</v>
      </c>
      <c r="H336" s="3">
        <v>3889</v>
      </c>
      <c r="I336" t="s">
        <v>19</v>
      </c>
    </row>
    <row r="337" spans="1:9" x14ac:dyDescent="0.35">
      <c r="A337" t="s">
        <v>378</v>
      </c>
      <c r="B337" s="2">
        <v>46230</v>
      </c>
      <c r="C337" t="s">
        <v>338</v>
      </c>
      <c r="D337" t="s">
        <v>31</v>
      </c>
      <c r="E337" t="s">
        <v>21</v>
      </c>
      <c r="F337" t="s">
        <v>28</v>
      </c>
      <c r="G337" t="s">
        <v>47</v>
      </c>
      <c r="H337" s="3">
        <v>13709</v>
      </c>
      <c r="I337" t="s">
        <v>15</v>
      </c>
    </row>
    <row r="338" spans="1:9" x14ac:dyDescent="0.35">
      <c r="A338" t="s">
        <v>379</v>
      </c>
      <c r="B338" s="2">
        <v>46230</v>
      </c>
      <c r="C338" t="s">
        <v>338</v>
      </c>
      <c r="D338" t="s">
        <v>25</v>
      </c>
      <c r="E338" t="s">
        <v>34</v>
      </c>
      <c r="F338" t="s">
        <v>28</v>
      </c>
      <c r="G338" t="s">
        <v>38</v>
      </c>
      <c r="H338" s="3">
        <v>8283</v>
      </c>
      <c r="I338" t="s">
        <v>23</v>
      </c>
    </row>
    <row r="339" spans="1:9" x14ac:dyDescent="0.35">
      <c r="A339" t="s">
        <v>380</v>
      </c>
      <c r="B339" s="2">
        <v>46230</v>
      </c>
      <c r="C339" t="s">
        <v>338</v>
      </c>
      <c r="D339" t="s">
        <v>31</v>
      </c>
      <c r="E339" t="s">
        <v>34</v>
      </c>
      <c r="F339" t="s">
        <v>13</v>
      </c>
      <c r="G339" t="s">
        <v>55</v>
      </c>
      <c r="H339" s="3">
        <v>7480</v>
      </c>
      <c r="I339" t="s">
        <v>19</v>
      </c>
    </row>
    <row r="340" spans="1:9" x14ac:dyDescent="0.35">
      <c r="A340" t="s">
        <v>381</v>
      </c>
      <c r="B340" s="2">
        <v>46231</v>
      </c>
      <c r="C340" t="s">
        <v>338</v>
      </c>
      <c r="D340" t="s">
        <v>11</v>
      </c>
      <c r="E340" t="s">
        <v>12</v>
      </c>
      <c r="F340" t="s">
        <v>43</v>
      </c>
      <c r="G340" t="s">
        <v>41</v>
      </c>
      <c r="H340" s="3">
        <v>7936</v>
      </c>
      <c r="I340" t="s">
        <v>19</v>
      </c>
    </row>
    <row r="341" spans="1:9" x14ac:dyDescent="0.35">
      <c r="A341" t="s">
        <v>382</v>
      </c>
      <c r="B341" s="2">
        <v>46232</v>
      </c>
      <c r="C341" t="s">
        <v>338</v>
      </c>
      <c r="D341" t="s">
        <v>17</v>
      </c>
      <c r="E341" t="s">
        <v>21</v>
      </c>
      <c r="F341" t="s">
        <v>43</v>
      </c>
      <c r="G341" t="s">
        <v>47</v>
      </c>
      <c r="H341" s="3">
        <v>11344</v>
      </c>
      <c r="I341" t="s">
        <v>19</v>
      </c>
    </row>
    <row r="342" spans="1:9" x14ac:dyDescent="0.35">
      <c r="A342" t="s">
        <v>383</v>
      </c>
      <c r="B342" s="2">
        <v>46233</v>
      </c>
      <c r="C342" t="s">
        <v>338</v>
      </c>
      <c r="D342" t="s">
        <v>11</v>
      </c>
      <c r="E342" t="s">
        <v>26</v>
      </c>
      <c r="F342" t="s">
        <v>35</v>
      </c>
      <c r="G342" t="s">
        <v>41</v>
      </c>
      <c r="H342" s="3">
        <v>4593</v>
      </c>
      <c r="I342" t="s">
        <v>19</v>
      </c>
    </row>
    <row r="343" spans="1:9" x14ac:dyDescent="0.35">
      <c r="A343" t="s">
        <v>384</v>
      </c>
      <c r="B343" s="2">
        <v>46234</v>
      </c>
      <c r="C343" t="s">
        <v>338</v>
      </c>
      <c r="D343" t="s">
        <v>17</v>
      </c>
      <c r="E343" t="s">
        <v>12</v>
      </c>
      <c r="F343" t="s">
        <v>40</v>
      </c>
      <c r="G343" t="s">
        <v>14</v>
      </c>
      <c r="H343" s="3">
        <v>13606</v>
      </c>
      <c r="I343" t="s">
        <v>19</v>
      </c>
    </row>
    <row r="344" spans="1:9" x14ac:dyDescent="0.35">
      <c r="A344" t="s">
        <v>385</v>
      </c>
      <c r="B344" s="2">
        <v>46234</v>
      </c>
      <c r="C344" t="s">
        <v>338</v>
      </c>
      <c r="D344" t="s">
        <v>31</v>
      </c>
      <c r="E344" t="s">
        <v>26</v>
      </c>
      <c r="F344" t="s">
        <v>13</v>
      </c>
      <c r="G344" t="s">
        <v>18</v>
      </c>
      <c r="H344" s="3">
        <v>12815</v>
      </c>
      <c r="I344" t="s">
        <v>19</v>
      </c>
    </row>
    <row r="345" spans="1:9" x14ac:dyDescent="0.35">
      <c r="A345" t="s">
        <v>386</v>
      </c>
      <c r="B345" s="2">
        <v>46234</v>
      </c>
      <c r="C345" t="s">
        <v>338</v>
      </c>
      <c r="D345" t="s">
        <v>17</v>
      </c>
      <c r="E345" t="s">
        <v>34</v>
      </c>
      <c r="F345" t="s">
        <v>13</v>
      </c>
      <c r="G345" t="s">
        <v>32</v>
      </c>
      <c r="H345" s="3">
        <v>11803</v>
      </c>
      <c r="I345" t="s">
        <v>19</v>
      </c>
    </row>
    <row r="346" spans="1:9" x14ac:dyDescent="0.35">
      <c r="A346" t="s">
        <v>387</v>
      </c>
      <c r="B346" s="2">
        <v>46235</v>
      </c>
      <c r="C346" t="s">
        <v>388</v>
      </c>
      <c r="D346" t="s">
        <v>31</v>
      </c>
      <c r="E346" t="s">
        <v>34</v>
      </c>
      <c r="F346" t="s">
        <v>40</v>
      </c>
      <c r="G346" t="s">
        <v>29</v>
      </c>
      <c r="H346" s="3">
        <v>7455</v>
      </c>
      <c r="I346" t="s">
        <v>19</v>
      </c>
    </row>
    <row r="347" spans="1:9" x14ac:dyDescent="0.35">
      <c r="A347" t="s">
        <v>389</v>
      </c>
      <c r="B347" s="2">
        <v>46235</v>
      </c>
      <c r="C347" t="s">
        <v>388</v>
      </c>
      <c r="D347" t="s">
        <v>17</v>
      </c>
      <c r="E347" t="s">
        <v>26</v>
      </c>
      <c r="F347" t="s">
        <v>35</v>
      </c>
      <c r="G347" t="s">
        <v>14</v>
      </c>
      <c r="H347" s="3">
        <v>9048</v>
      </c>
      <c r="I347" t="s">
        <v>23</v>
      </c>
    </row>
    <row r="348" spans="1:9" x14ac:dyDescent="0.35">
      <c r="A348" t="s">
        <v>390</v>
      </c>
      <c r="B348" s="2">
        <v>46235</v>
      </c>
      <c r="C348" t="s">
        <v>388</v>
      </c>
      <c r="D348" t="s">
        <v>11</v>
      </c>
      <c r="E348" t="s">
        <v>21</v>
      </c>
      <c r="F348" t="s">
        <v>13</v>
      </c>
      <c r="G348" t="s">
        <v>38</v>
      </c>
      <c r="H348" s="3">
        <v>7659</v>
      </c>
      <c r="I348" t="s">
        <v>19</v>
      </c>
    </row>
    <row r="349" spans="1:9" x14ac:dyDescent="0.35">
      <c r="A349" t="s">
        <v>391</v>
      </c>
      <c r="B349" s="2">
        <v>46235</v>
      </c>
      <c r="C349" t="s">
        <v>388</v>
      </c>
      <c r="D349" t="s">
        <v>17</v>
      </c>
      <c r="E349" t="s">
        <v>12</v>
      </c>
      <c r="F349" t="s">
        <v>13</v>
      </c>
      <c r="G349" t="s">
        <v>14</v>
      </c>
      <c r="H349" s="3">
        <v>13810</v>
      </c>
      <c r="I349" t="s">
        <v>23</v>
      </c>
    </row>
    <row r="350" spans="1:9" x14ac:dyDescent="0.35">
      <c r="A350" t="s">
        <v>392</v>
      </c>
      <c r="B350" s="2">
        <v>46236</v>
      </c>
      <c r="C350" t="s">
        <v>388</v>
      </c>
      <c r="D350" t="s">
        <v>25</v>
      </c>
      <c r="E350" t="s">
        <v>34</v>
      </c>
      <c r="F350" t="s">
        <v>52</v>
      </c>
      <c r="G350" t="s">
        <v>14</v>
      </c>
      <c r="H350" s="3">
        <v>5291</v>
      </c>
      <c r="I350" t="s">
        <v>23</v>
      </c>
    </row>
    <row r="351" spans="1:9" x14ac:dyDescent="0.35">
      <c r="A351" t="s">
        <v>393</v>
      </c>
      <c r="B351" s="2">
        <v>46237</v>
      </c>
      <c r="C351" t="s">
        <v>388</v>
      </c>
      <c r="D351" t="s">
        <v>11</v>
      </c>
      <c r="E351" t="s">
        <v>12</v>
      </c>
      <c r="F351" t="s">
        <v>37</v>
      </c>
      <c r="G351" t="s">
        <v>32</v>
      </c>
      <c r="H351" s="3">
        <v>6815</v>
      </c>
      <c r="I351" t="s">
        <v>19</v>
      </c>
    </row>
    <row r="352" spans="1:9" x14ac:dyDescent="0.35">
      <c r="A352" t="s">
        <v>394</v>
      </c>
      <c r="B352" s="2">
        <v>46237</v>
      </c>
      <c r="C352" t="s">
        <v>388</v>
      </c>
      <c r="D352" t="s">
        <v>17</v>
      </c>
      <c r="E352" t="s">
        <v>34</v>
      </c>
      <c r="F352" t="s">
        <v>22</v>
      </c>
      <c r="G352" t="s">
        <v>55</v>
      </c>
      <c r="H352" s="3">
        <v>13057</v>
      </c>
      <c r="I352" t="s">
        <v>23</v>
      </c>
    </row>
    <row r="353" spans="1:9" x14ac:dyDescent="0.35">
      <c r="A353" t="s">
        <v>395</v>
      </c>
      <c r="B353" s="2">
        <v>46237</v>
      </c>
      <c r="C353" t="s">
        <v>388</v>
      </c>
      <c r="D353" t="s">
        <v>31</v>
      </c>
      <c r="E353" t="s">
        <v>26</v>
      </c>
      <c r="F353" t="s">
        <v>35</v>
      </c>
      <c r="G353" t="s">
        <v>14</v>
      </c>
      <c r="H353" s="3">
        <v>12601</v>
      </c>
      <c r="I353" t="s">
        <v>15</v>
      </c>
    </row>
    <row r="354" spans="1:9" x14ac:dyDescent="0.35">
      <c r="A354" t="s">
        <v>396</v>
      </c>
      <c r="B354" s="2">
        <v>46237</v>
      </c>
      <c r="C354" t="s">
        <v>388</v>
      </c>
      <c r="D354" t="s">
        <v>11</v>
      </c>
      <c r="E354" t="s">
        <v>21</v>
      </c>
      <c r="F354" t="s">
        <v>22</v>
      </c>
      <c r="G354" t="s">
        <v>32</v>
      </c>
      <c r="H354" s="3">
        <v>1031</v>
      </c>
      <c r="I354" t="s">
        <v>19</v>
      </c>
    </row>
    <row r="355" spans="1:9" x14ac:dyDescent="0.35">
      <c r="A355" t="s">
        <v>397</v>
      </c>
      <c r="B355" s="2">
        <v>46238</v>
      </c>
      <c r="C355" t="s">
        <v>388</v>
      </c>
      <c r="D355" t="s">
        <v>17</v>
      </c>
      <c r="E355" t="s">
        <v>21</v>
      </c>
      <c r="F355" t="s">
        <v>37</v>
      </c>
      <c r="G355" t="s">
        <v>41</v>
      </c>
      <c r="H355" s="3">
        <v>1779</v>
      </c>
      <c r="I355" t="s">
        <v>19</v>
      </c>
    </row>
    <row r="356" spans="1:9" x14ac:dyDescent="0.35">
      <c r="A356" t="s">
        <v>398</v>
      </c>
      <c r="B356" s="2">
        <v>46238</v>
      </c>
      <c r="C356" t="s">
        <v>388</v>
      </c>
      <c r="D356" t="s">
        <v>17</v>
      </c>
      <c r="E356" t="s">
        <v>12</v>
      </c>
      <c r="F356" t="s">
        <v>40</v>
      </c>
      <c r="G356" t="s">
        <v>18</v>
      </c>
      <c r="H356" s="3">
        <v>14653</v>
      </c>
      <c r="I356" t="s">
        <v>19</v>
      </c>
    </row>
    <row r="357" spans="1:9" x14ac:dyDescent="0.35">
      <c r="A357" t="s">
        <v>399</v>
      </c>
      <c r="B357" s="2">
        <v>46239</v>
      </c>
      <c r="C357" t="s">
        <v>388</v>
      </c>
      <c r="D357" t="s">
        <v>11</v>
      </c>
      <c r="E357" t="s">
        <v>26</v>
      </c>
      <c r="F357" t="s">
        <v>37</v>
      </c>
      <c r="G357" t="s">
        <v>29</v>
      </c>
      <c r="H357" s="3">
        <v>8023</v>
      </c>
      <c r="I357" t="s">
        <v>19</v>
      </c>
    </row>
    <row r="358" spans="1:9" x14ac:dyDescent="0.35">
      <c r="A358" t="s">
        <v>400</v>
      </c>
      <c r="B358" s="2">
        <v>46239</v>
      </c>
      <c r="C358" t="s">
        <v>388</v>
      </c>
      <c r="D358" t="s">
        <v>17</v>
      </c>
      <c r="E358" t="s">
        <v>34</v>
      </c>
      <c r="F358" t="s">
        <v>35</v>
      </c>
      <c r="G358" t="s">
        <v>18</v>
      </c>
      <c r="H358" s="3">
        <v>2215</v>
      </c>
      <c r="I358" t="s">
        <v>23</v>
      </c>
    </row>
    <row r="359" spans="1:9" x14ac:dyDescent="0.35">
      <c r="A359" t="s">
        <v>401</v>
      </c>
      <c r="B359" s="2">
        <v>46240</v>
      </c>
      <c r="C359" t="s">
        <v>388</v>
      </c>
      <c r="D359" t="s">
        <v>17</v>
      </c>
      <c r="E359" t="s">
        <v>12</v>
      </c>
      <c r="F359" t="s">
        <v>28</v>
      </c>
      <c r="G359" t="s">
        <v>47</v>
      </c>
      <c r="H359" s="3">
        <v>9996</v>
      </c>
      <c r="I359" t="s">
        <v>19</v>
      </c>
    </row>
    <row r="360" spans="1:9" x14ac:dyDescent="0.35">
      <c r="A360" t="s">
        <v>402</v>
      </c>
      <c r="B360" s="2">
        <v>46240</v>
      </c>
      <c r="C360" t="s">
        <v>388</v>
      </c>
      <c r="D360" t="s">
        <v>11</v>
      </c>
      <c r="E360" t="s">
        <v>21</v>
      </c>
      <c r="F360" t="s">
        <v>43</v>
      </c>
      <c r="G360" t="s">
        <v>55</v>
      </c>
      <c r="H360" s="3">
        <v>12108</v>
      </c>
      <c r="I360" t="s">
        <v>19</v>
      </c>
    </row>
    <row r="361" spans="1:9" x14ac:dyDescent="0.35">
      <c r="A361" t="s">
        <v>403</v>
      </c>
      <c r="B361" s="2">
        <v>46241</v>
      </c>
      <c r="C361" t="s">
        <v>388</v>
      </c>
      <c r="D361" t="s">
        <v>17</v>
      </c>
      <c r="E361" t="s">
        <v>12</v>
      </c>
      <c r="F361" t="s">
        <v>22</v>
      </c>
      <c r="G361" t="s">
        <v>14</v>
      </c>
      <c r="H361" s="3">
        <v>1818</v>
      </c>
      <c r="I361" t="s">
        <v>23</v>
      </c>
    </row>
    <row r="362" spans="1:9" x14ac:dyDescent="0.35">
      <c r="A362" t="s">
        <v>404</v>
      </c>
      <c r="B362" s="2">
        <v>46242</v>
      </c>
      <c r="C362" t="s">
        <v>388</v>
      </c>
      <c r="D362" t="s">
        <v>11</v>
      </c>
      <c r="E362" t="s">
        <v>21</v>
      </c>
      <c r="F362" t="s">
        <v>13</v>
      </c>
      <c r="G362" t="s">
        <v>29</v>
      </c>
      <c r="H362" s="3">
        <v>11331</v>
      </c>
      <c r="I362" t="s">
        <v>19</v>
      </c>
    </row>
    <row r="363" spans="1:9" x14ac:dyDescent="0.35">
      <c r="A363" t="s">
        <v>405</v>
      </c>
      <c r="B363" s="2">
        <v>46242</v>
      </c>
      <c r="C363" t="s">
        <v>388</v>
      </c>
      <c r="D363" t="s">
        <v>31</v>
      </c>
      <c r="E363" t="s">
        <v>21</v>
      </c>
      <c r="F363" t="s">
        <v>43</v>
      </c>
      <c r="G363" t="s">
        <v>41</v>
      </c>
      <c r="H363" s="3">
        <v>12623</v>
      </c>
      <c r="I363" t="s">
        <v>15</v>
      </c>
    </row>
    <row r="364" spans="1:9" x14ac:dyDescent="0.35">
      <c r="A364" t="s">
        <v>406</v>
      </c>
      <c r="B364" s="2">
        <v>46243</v>
      </c>
      <c r="C364" t="s">
        <v>388</v>
      </c>
      <c r="D364" t="s">
        <v>11</v>
      </c>
      <c r="E364" t="s">
        <v>21</v>
      </c>
      <c r="F364" t="s">
        <v>52</v>
      </c>
      <c r="G364" t="s">
        <v>14</v>
      </c>
      <c r="H364" s="3">
        <v>13523</v>
      </c>
      <c r="I364" t="s">
        <v>15</v>
      </c>
    </row>
    <row r="365" spans="1:9" x14ac:dyDescent="0.35">
      <c r="A365" t="s">
        <v>407</v>
      </c>
      <c r="B365" s="2">
        <v>46243</v>
      </c>
      <c r="C365" t="s">
        <v>388</v>
      </c>
      <c r="D365" t="s">
        <v>17</v>
      </c>
      <c r="E365" t="s">
        <v>26</v>
      </c>
      <c r="F365" t="s">
        <v>43</v>
      </c>
      <c r="G365" t="s">
        <v>14</v>
      </c>
      <c r="H365" s="3">
        <v>2753</v>
      </c>
      <c r="I365" t="s">
        <v>23</v>
      </c>
    </row>
    <row r="366" spans="1:9" x14ac:dyDescent="0.35">
      <c r="A366" t="s">
        <v>408</v>
      </c>
      <c r="B366" s="2">
        <v>46243</v>
      </c>
      <c r="C366" t="s">
        <v>388</v>
      </c>
      <c r="D366" t="s">
        <v>25</v>
      </c>
      <c r="E366" t="s">
        <v>12</v>
      </c>
      <c r="F366" t="s">
        <v>37</v>
      </c>
      <c r="G366" t="s">
        <v>55</v>
      </c>
      <c r="H366" s="3">
        <v>9989</v>
      </c>
      <c r="I366" t="s">
        <v>15</v>
      </c>
    </row>
    <row r="367" spans="1:9" x14ac:dyDescent="0.35">
      <c r="A367" t="s">
        <v>409</v>
      </c>
      <c r="B367" s="2">
        <v>46244</v>
      </c>
      <c r="C367" t="s">
        <v>388</v>
      </c>
      <c r="D367" t="s">
        <v>31</v>
      </c>
      <c r="E367" t="s">
        <v>34</v>
      </c>
      <c r="F367" t="s">
        <v>13</v>
      </c>
      <c r="G367" t="s">
        <v>29</v>
      </c>
      <c r="H367" s="3">
        <v>14971</v>
      </c>
      <c r="I367" t="s">
        <v>15</v>
      </c>
    </row>
    <row r="368" spans="1:9" x14ac:dyDescent="0.35">
      <c r="A368" t="s">
        <v>410</v>
      </c>
      <c r="B368" s="2">
        <v>46245</v>
      </c>
      <c r="C368" t="s">
        <v>388</v>
      </c>
      <c r="D368" t="s">
        <v>25</v>
      </c>
      <c r="E368" t="s">
        <v>12</v>
      </c>
      <c r="F368" t="s">
        <v>37</v>
      </c>
      <c r="G368" t="s">
        <v>18</v>
      </c>
      <c r="H368" s="3">
        <v>12072</v>
      </c>
      <c r="I368" t="s">
        <v>19</v>
      </c>
    </row>
    <row r="369" spans="1:9" x14ac:dyDescent="0.35">
      <c r="A369" t="s">
        <v>411</v>
      </c>
      <c r="B369" s="2">
        <v>46245</v>
      </c>
      <c r="C369" t="s">
        <v>388</v>
      </c>
      <c r="D369" t="s">
        <v>31</v>
      </c>
      <c r="E369" t="s">
        <v>21</v>
      </c>
      <c r="F369" t="s">
        <v>13</v>
      </c>
      <c r="G369" t="s">
        <v>14</v>
      </c>
      <c r="H369" s="3">
        <v>7478</v>
      </c>
      <c r="I369" t="s">
        <v>19</v>
      </c>
    </row>
    <row r="370" spans="1:9" x14ac:dyDescent="0.35">
      <c r="A370" t="s">
        <v>412</v>
      </c>
      <c r="B370" s="2">
        <v>46245</v>
      </c>
      <c r="C370" t="s">
        <v>388</v>
      </c>
      <c r="D370" t="s">
        <v>31</v>
      </c>
      <c r="E370" t="s">
        <v>34</v>
      </c>
      <c r="F370" t="s">
        <v>40</v>
      </c>
      <c r="G370" t="s">
        <v>38</v>
      </c>
      <c r="H370" s="3">
        <v>10527</v>
      </c>
      <c r="I370" t="s">
        <v>19</v>
      </c>
    </row>
    <row r="371" spans="1:9" x14ac:dyDescent="0.35">
      <c r="A371" t="s">
        <v>413</v>
      </c>
      <c r="B371" s="2">
        <v>46247</v>
      </c>
      <c r="C371" t="s">
        <v>388</v>
      </c>
      <c r="D371" t="s">
        <v>11</v>
      </c>
      <c r="E371" t="s">
        <v>21</v>
      </c>
      <c r="F371" t="s">
        <v>52</v>
      </c>
      <c r="G371" t="s">
        <v>29</v>
      </c>
      <c r="H371" s="3">
        <v>8614</v>
      </c>
      <c r="I371" t="s">
        <v>15</v>
      </c>
    </row>
    <row r="372" spans="1:9" x14ac:dyDescent="0.35">
      <c r="A372" t="s">
        <v>414</v>
      </c>
      <c r="B372" s="2">
        <v>46248</v>
      </c>
      <c r="C372" t="s">
        <v>388</v>
      </c>
      <c r="D372" t="s">
        <v>17</v>
      </c>
      <c r="E372" t="s">
        <v>21</v>
      </c>
      <c r="F372" t="s">
        <v>28</v>
      </c>
      <c r="G372" t="s">
        <v>32</v>
      </c>
      <c r="H372" s="3">
        <v>7732</v>
      </c>
      <c r="I372" t="s">
        <v>19</v>
      </c>
    </row>
    <row r="373" spans="1:9" x14ac:dyDescent="0.35">
      <c r="A373" t="s">
        <v>415</v>
      </c>
      <c r="B373" s="2">
        <v>46248</v>
      </c>
      <c r="C373" t="s">
        <v>388</v>
      </c>
      <c r="D373" t="s">
        <v>25</v>
      </c>
      <c r="E373" t="s">
        <v>26</v>
      </c>
      <c r="F373" t="s">
        <v>22</v>
      </c>
      <c r="G373" t="s">
        <v>29</v>
      </c>
      <c r="H373" s="3">
        <v>9545</v>
      </c>
      <c r="I373" t="s">
        <v>19</v>
      </c>
    </row>
    <row r="374" spans="1:9" x14ac:dyDescent="0.35">
      <c r="A374" t="s">
        <v>416</v>
      </c>
      <c r="B374" s="2">
        <v>46248</v>
      </c>
      <c r="C374" t="s">
        <v>388</v>
      </c>
      <c r="D374" t="s">
        <v>31</v>
      </c>
      <c r="E374" t="s">
        <v>21</v>
      </c>
      <c r="F374" t="s">
        <v>37</v>
      </c>
      <c r="G374" t="s">
        <v>14</v>
      </c>
      <c r="H374" s="3">
        <v>3070</v>
      </c>
      <c r="I374" t="s">
        <v>19</v>
      </c>
    </row>
    <row r="375" spans="1:9" x14ac:dyDescent="0.35">
      <c r="A375" t="s">
        <v>417</v>
      </c>
      <c r="B375" s="2">
        <v>46249</v>
      </c>
      <c r="C375" t="s">
        <v>388</v>
      </c>
      <c r="D375" t="s">
        <v>17</v>
      </c>
      <c r="E375" t="s">
        <v>26</v>
      </c>
      <c r="F375" t="s">
        <v>35</v>
      </c>
      <c r="G375" t="s">
        <v>29</v>
      </c>
      <c r="H375" s="3">
        <v>4251</v>
      </c>
      <c r="I375" t="s">
        <v>23</v>
      </c>
    </row>
    <row r="376" spans="1:9" x14ac:dyDescent="0.35">
      <c r="A376" t="s">
        <v>418</v>
      </c>
      <c r="B376" s="2">
        <v>46250</v>
      </c>
      <c r="C376" t="s">
        <v>388</v>
      </c>
      <c r="D376" t="s">
        <v>25</v>
      </c>
      <c r="E376" t="s">
        <v>34</v>
      </c>
      <c r="F376" t="s">
        <v>43</v>
      </c>
      <c r="G376" t="s">
        <v>38</v>
      </c>
      <c r="H376" s="3">
        <v>11420</v>
      </c>
      <c r="I376" t="s">
        <v>19</v>
      </c>
    </row>
    <row r="377" spans="1:9" x14ac:dyDescent="0.35">
      <c r="A377" t="s">
        <v>419</v>
      </c>
      <c r="B377" s="2">
        <v>46250</v>
      </c>
      <c r="C377" t="s">
        <v>388</v>
      </c>
      <c r="D377" t="s">
        <v>25</v>
      </c>
      <c r="E377" t="s">
        <v>34</v>
      </c>
      <c r="F377" t="s">
        <v>52</v>
      </c>
      <c r="G377" t="s">
        <v>38</v>
      </c>
      <c r="H377" s="3">
        <v>3918</v>
      </c>
      <c r="I377" t="s">
        <v>19</v>
      </c>
    </row>
    <row r="378" spans="1:9" x14ac:dyDescent="0.35">
      <c r="A378" t="s">
        <v>420</v>
      </c>
      <c r="B378" s="2">
        <v>46250</v>
      </c>
      <c r="C378" t="s">
        <v>388</v>
      </c>
      <c r="D378" t="s">
        <v>17</v>
      </c>
      <c r="E378" t="s">
        <v>26</v>
      </c>
      <c r="F378" t="s">
        <v>35</v>
      </c>
      <c r="G378" t="s">
        <v>29</v>
      </c>
      <c r="H378" s="3">
        <v>4718</v>
      </c>
      <c r="I378" t="s">
        <v>15</v>
      </c>
    </row>
    <row r="379" spans="1:9" x14ac:dyDescent="0.35">
      <c r="A379" t="s">
        <v>421</v>
      </c>
      <c r="B379" s="2">
        <v>46250</v>
      </c>
      <c r="C379" t="s">
        <v>388</v>
      </c>
      <c r="D379" t="s">
        <v>25</v>
      </c>
      <c r="E379" t="s">
        <v>21</v>
      </c>
      <c r="F379" t="s">
        <v>22</v>
      </c>
      <c r="G379" t="s">
        <v>29</v>
      </c>
      <c r="H379" s="3">
        <v>13329</v>
      </c>
      <c r="I379" t="s">
        <v>19</v>
      </c>
    </row>
    <row r="380" spans="1:9" x14ac:dyDescent="0.35">
      <c r="A380" t="s">
        <v>422</v>
      </c>
      <c r="B380" s="2">
        <v>46250</v>
      </c>
      <c r="C380" t="s">
        <v>388</v>
      </c>
      <c r="D380" t="s">
        <v>11</v>
      </c>
      <c r="E380" t="s">
        <v>21</v>
      </c>
      <c r="F380" t="s">
        <v>40</v>
      </c>
      <c r="G380" t="s">
        <v>38</v>
      </c>
      <c r="H380" s="3">
        <v>9453</v>
      </c>
      <c r="I380" t="s">
        <v>19</v>
      </c>
    </row>
    <row r="381" spans="1:9" x14ac:dyDescent="0.35">
      <c r="A381" t="s">
        <v>423</v>
      </c>
      <c r="B381" s="2">
        <v>46251</v>
      </c>
      <c r="C381" t="s">
        <v>388</v>
      </c>
      <c r="D381" t="s">
        <v>25</v>
      </c>
      <c r="E381" t="s">
        <v>34</v>
      </c>
      <c r="F381" t="s">
        <v>28</v>
      </c>
      <c r="G381" t="s">
        <v>38</v>
      </c>
      <c r="H381" s="3">
        <v>5450</v>
      </c>
      <c r="I381" t="s">
        <v>19</v>
      </c>
    </row>
    <row r="382" spans="1:9" x14ac:dyDescent="0.35">
      <c r="A382" t="s">
        <v>424</v>
      </c>
      <c r="B382" s="2">
        <v>46252</v>
      </c>
      <c r="C382" t="s">
        <v>388</v>
      </c>
      <c r="D382" t="s">
        <v>31</v>
      </c>
      <c r="E382" t="s">
        <v>12</v>
      </c>
      <c r="F382" t="s">
        <v>35</v>
      </c>
      <c r="G382" t="s">
        <v>32</v>
      </c>
      <c r="H382" s="3">
        <v>8458</v>
      </c>
      <c r="I382" t="s">
        <v>19</v>
      </c>
    </row>
    <row r="383" spans="1:9" x14ac:dyDescent="0.35">
      <c r="A383" t="s">
        <v>425</v>
      </c>
      <c r="B383" s="2">
        <v>46252</v>
      </c>
      <c r="C383" t="s">
        <v>388</v>
      </c>
      <c r="D383" t="s">
        <v>25</v>
      </c>
      <c r="E383" t="s">
        <v>26</v>
      </c>
      <c r="F383" t="s">
        <v>40</v>
      </c>
      <c r="G383" t="s">
        <v>47</v>
      </c>
      <c r="H383" s="3">
        <v>1574</v>
      </c>
      <c r="I383" t="s">
        <v>19</v>
      </c>
    </row>
    <row r="384" spans="1:9" x14ac:dyDescent="0.35">
      <c r="A384" t="s">
        <v>426</v>
      </c>
      <c r="B384" s="2">
        <v>46252</v>
      </c>
      <c r="C384" t="s">
        <v>388</v>
      </c>
      <c r="D384" t="s">
        <v>31</v>
      </c>
      <c r="E384" t="s">
        <v>26</v>
      </c>
      <c r="F384" t="s">
        <v>40</v>
      </c>
      <c r="G384" t="s">
        <v>38</v>
      </c>
      <c r="H384" s="3">
        <v>4607</v>
      </c>
      <c r="I384" t="s">
        <v>15</v>
      </c>
    </row>
    <row r="385" spans="1:9" x14ac:dyDescent="0.35">
      <c r="A385" t="s">
        <v>427</v>
      </c>
      <c r="B385" s="2">
        <v>46253</v>
      </c>
      <c r="C385" t="s">
        <v>388</v>
      </c>
      <c r="D385" t="s">
        <v>25</v>
      </c>
      <c r="E385" t="s">
        <v>12</v>
      </c>
      <c r="F385" t="s">
        <v>40</v>
      </c>
      <c r="G385" t="s">
        <v>41</v>
      </c>
      <c r="H385" s="3">
        <v>3787</v>
      </c>
      <c r="I385" t="s">
        <v>19</v>
      </c>
    </row>
    <row r="386" spans="1:9" x14ac:dyDescent="0.35">
      <c r="A386" t="s">
        <v>428</v>
      </c>
      <c r="B386" s="2">
        <v>46255</v>
      </c>
      <c r="C386" t="s">
        <v>388</v>
      </c>
      <c r="D386" t="s">
        <v>17</v>
      </c>
      <c r="E386" t="s">
        <v>26</v>
      </c>
      <c r="F386" t="s">
        <v>40</v>
      </c>
      <c r="G386" t="s">
        <v>14</v>
      </c>
      <c r="H386" s="3">
        <v>11035</v>
      </c>
      <c r="I386" t="s">
        <v>19</v>
      </c>
    </row>
    <row r="387" spans="1:9" x14ac:dyDescent="0.35">
      <c r="A387" t="s">
        <v>429</v>
      </c>
      <c r="B387" s="2">
        <v>46255</v>
      </c>
      <c r="C387" t="s">
        <v>388</v>
      </c>
      <c r="D387" t="s">
        <v>17</v>
      </c>
      <c r="E387" t="s">
        <v>12</v>
      </c>
      <c r="F387" t="s">
        <v>43</v>
      </c>
      <c r="G387" t="s">
        <v>55</v>
      </c>
      <c r="H387" s="3">
        <v>8459</v>
      </c>
      <c r="I387" t="s">
        <v>19</v>
      </c>
    </row>
    <row r="388" spans="1:9" x14ac:dyDescent="0.35">
      <c r="A388" t="s">
        <v>430</v>
      </c>
      <c r="B388" s="2">
        <v>46255</v>
      </c>
      <c r="C388" t="s">
        <v>388</v>
      </c>
      <c r="D388" t="s">
        <v>25</v>
      </c>
      <c r="E388" t="s">
        <v>12</v>
      </c>
      <c r="F388" t="s">
        <v>52</v>
      </c>
      <c r="G388" t="s">
        <v>14</v>
      </c>
      <c r="H388" s="3">
        <v>11073</v>
      </c>
      <c r="I388" t="s">
        <v>19</v>
      </c>
    </row>
    <row r="389" spans="1:9" x14ac:dyDescent="0.35">
      <c r="A389" t="s">
        <v>431</v>
      </c>
      <c r="B389" s="2">
        <v>46256</v>
      </c>
      <c r="C389" t="s">
        <v>388</v>
      </c>
      <c r="D389" t="s">
        <v>17</v>
      </c>
      <c r="E389" t="s">
        <v>21</v>
      </c>
      <c r="F389" t="s">
        <v>37</v>
      </c>
      <c r="G389" t="s">
        <v>18</v>
      </c>
      <c r="H389" s="3">
        <v>13180</v>
      </c>
      <c r="I389" t="s">
        <v>19</v>
      </c>
    </row>
    <row r="390" spans="1:9" x14ac:dyDescent="0.35">
      <c r="A390" t="s">
        <v>432</v>
      </c>
      <c r="B390" s="2">
        <v>46257</v>
      </c>
      <c r="C390" t="s">
        <v>388</v>
      </c>
      <c r="D390" t="s">
        <v>11</v>
      </c>
      <c r="E390" t="s">
        <v>26</v>
      </c>
      <c r="F390" t="s">
        <v>28</v>
      </c>
      <c r="G390" t="s">
        <v>18</v>
      </c>
      <c r="H390" s="3">
        <v>4389</v>
      </c>
      <c r="I390" t="s">
        <v>19</v>
      </c>
    </row>
    <row r="391" spans="1:9" x14ac:dyDescent="0.35">
      <c r="A391" t="s">
        <v>433</v>
      </c>
      <c r="B391" s="2">
        <v>46258</v>
      </c>
      <c r="C391" t="s">
        <v>388</v>
      </c>
      <c r="D391" t="s">
        <v>25</v>
      </c>
      <c r="E391" t="s">
        <v>26</v>
      </c>
      <c r="F391" t="s">
        <v>22</v>
      </c>
      <c r="G391" t="s">
        <v>32</v>
      </c>
      <c r="H391" s="3">
        <v>2591</v>
      </c>
      <c r="I391" t="s">
        <v>19</v>
      </c>
    </row>
    <row r="392" spans="1:9" x14ac:dyDescent="0.35">
      <c r="A392" t="s">
        <v>434</v>
      </c>
      <c r="B392" s="2">
        <v>46259</v>
      </c>
      <c r="C392" t="s">
        <v>388</v>
      </c>
      <c r="D392" t="s">
        <v>31</v>
      </c>
      <c r="E392" t="s">
        <v>12</v>
      </c>
      <c r="F392" t="s">
        <v>35</v>
      </c>
      <c r="G392" t="s">
        <v>38</v>
      </c>
      <c r="H392" s="3">
        <v>9131</v>
      </c>
      <c r="I392" t="s">
        <v>15</v>
      </c>
    </row>
    <row r="393" spans="1:9" x14ac:dyDescent="0.35">
      <c r="A393" t="s">
        <v>435</v>
      </c>
      <c r="B393" s="2">
        <v>46259</v>
      </c>
      <c r="C393" t="s">
        <v>388</v>
      </c>
      <c r="D393" t="s">
        <v>17</v>
      </c>
      <c r="E393" t="s">
        <v>21</v>
      </c>
      <c r="F393" t="s">
        <v>43</v>
      </c>
      <c r="G393" t="s">
        <v>55</v>
      </c>
      <c r="H393" s="3">
        <v>4211</v>
      </c>
      <c r="I393" t="s">
        <v>23</v>
      </c>
    </row>
    <row r="394" spans="1:9" x14ac:dyDescent="0.35">
      <c r="A394" t="s">
        <v>436</v>
      </c>
      <c r="B394" s="2">
        <v>46260</v>
      </c>
      <c r="C394" t="s">
        <v>388</v>
      </c>
      <c r="D394" t="s">
        <v>31</v>
      </c>
      <c r="E394" t="s">
        <v>34</v>
      </c>
      <c r="F394" t="s">
        <v>13</v>
      </c>
      <c r="G394" t="s">
        <v>29</v>
      </c>
      <c r="H394" s="3">
        <v>14017</v>
      </c>
      <c r="I394" t="s">
        <v>19</v>
      </c>
    </row>
    <row r="395" spans="1:9" x14ac:dyDescent="0.35">
      <c r="A395" t="s">
        <v>437</v>
      </c>
      <c r="B395" s="2">
        <v>46260</v>
      </c>
      <c r="C395" t="s">
        <v>388</v>
      </c>
      <c r="D395" t="s">
        <v>17</v>
      </c>
      <c r="E395" t="s">
        <v>21</v>
      </c>
      <c r="F395" t="s">
        <v>52</v>
      </c>
      <c r="G395" t="s">
        <v>41</v>
      </c>
      <c r="H395" s="3">
        <v>12499</v>
      </c>
      <c r="I395" t="s">
        <v>15</v>
      </c>
    </row>
    <row r="396" spans="1:9" x14ac:dyDescent="0.35">
      <c r="A396" t="s">
        <v>438</v>
      </c>
      <c r="B396" s="2">
        <v>46262</v>
      </c>
      <c r="C396" t="s">
        <v>388</v>
      </c>
      <c r="D396" t="s">
        <v>31</v>
      </c>
      <c r="E396" t="s">
        <v>34</v>
      </c>
      <c r="F396" t="s">
        <v>40</v>
      </c>
      <c r="G396" t="s">
        <v>38</v>
      </c>
      <c r="H396" s="3">
        <v>937</v>
      </c>
      <c r="I396" t="s">
        <v>23</v>
      </c>
    </row>
    <row r="397" spans="1:9" x14ac:dyDescent="0.35">
      <c r="A397" t="s">
        <v>439</v>
      </c>
      <c r="B397" s="2">
        <v>46262</v>
      </c>
      <c r="C397" t="s">
        <v>388</v>
      </c>
      <c r="D397" t="s">
        <v>17</v>
      </c>
      <c r="E397" t="s">
        <v>21</v>
      </c>
      <c r="F397" t="s">
        <v>37</v>
      </c>
      <c r="G397" t="s">
        <v>55</v>
      </c>
      <c r="H397" s="3">
        <v>5032</v>
      </c>
      <c r="I397" t="s">
        <v>23</v>
      </c>
    </row>
    <row r="398" spans="1:9" x14ac:dyDescent="0.35">
      <c r="A398" t="s">
        <v>440</v>
      </c>
      <c r="B398" s="2">
        <v>46262</v>
      </c>
      <c r="C398" t="s">
        <v>388</v>
      </c>
      <c r="D398" t="s">
        <v>31</v>
      </c>
      <c r="E398" t="s">
        <v>34</v>
      </c>
      <c r="F398" t="s">
        <v>28</v>
      </c>
      <c r="G398" t="s">
        <v>18</v>
      </c>
      <c r="H398" s="3">
        <v>2176</v>
      </c>
      <c r="I398" t="s">
        <v>15</v>
      </c>
    </row>
    <row r="399" spans="1:9" x14ac:dyDescent="0.35">
      <c r="A399" t="s">
        <v>441</v>
      </c>
      <c r="B399" s="2">
        <v>46263</v>
      </c>
      <c r="C399" t="s">
        <v>388</v>
      </c>
      <c r="D399" t="s">
        <v>17</v>
      </c>
      <c r="E399" t="s">
        <v>12</v>
      </c>
      <c r="F399" t="s">
        <v>28</v>
      </c>
      <c r="G399" t="s">
        <v>18</v>
      </c>
      <c r="H399" s="3">
        <v>6076</v>
      </c>
      <c r="I399" t="s">
        <v>19</v>
      </c>
    </row>
    <row r="400" spans="1:9" x14ac:dyDescent="0.35">
      <c r="A400" t="s">
        <v>442</v>
      </c>
      <c r="B400" s="2">
        <v>46263</v>
      </c>
      <c r="C400" t="s">
        <v>388</v>
      </c>
      <c r="D400" t="s">
        <v>17</v>
      </c>
      <c r="E400" t="s">
        <v>34</v>
      </c>
      <c r="F400" t="s">
        <v>52</v>
      </c>
      <c r="G400" t="s">
        <v>18</v>
      </c>
      <c r="H400" s="3">
        <v>5596</v>
      </c>
      <c r="I400" t="s">
        <v>19</v>
      </c>
    </row>
    <row r="401" spans="1:9" x14ac:dyDescent="0.35">
      <c r="A401" t="s">
        <v>443</v>
      </c>
      <c r="B401" s="2">
        <v>46263</v>
      </c>
      <c r="C401" t="s">
        <v>388</v>
      </c>
      <c r="D401" t="s">
        <v>17</v>
      </c>
      <c r="E401" t="s">
        <v>21</v>
      </c>
      <c r="F401" t="s">
        <v>13</v>
      </c>
      <c r="G401" t="s">
        <v>18</v>
      </c>
      <c r="H401" s="3">
        <v>10724</v>
      </c>
      <c r="I401" t="s">
        <v>15</v>
      </c>
    </row>
    <row r="402" spans="1:9" x14ac:dyDescent="0.35">
      <c r="A402" t="s">
        <v>444</v>
      </c>
      <c r="B402" s="2">
        <v>46264</v>
      </c>
      <c r="C402" t="s">
        <v>388</v>
      </c>
      <c r="D402" t="s">
        <v>11</v>
      </c>
      <c r="E402" t="s">
        <v>12</v>
      </c>
      <c r="F402" t="s">
        <v>35</v>
      </c>
      <c r="G402" t="s">
        <v>41</v>
      </c>
      <c r="H402" s="3">
        <v>7533</v>
      </c>
      <c r="I402" t="s">
        <v>19</v>
      </c>
    </row>
    <row r="403" spans="1:9" x14ac:dyDescent="0.35">
      <c r="A403" t="s">
        <v>445</v>
      </c>
      <c r="B403" s="2">
        <v>46265</v>
      </c>
      <c r="C403" t="s">
        <v>388</v>
      </c>
      <c r="D403" t="s">
        <v>17</v>
      </c>
      <c r="E403" t="s">
        <v>12</v>
      </c>
      <c r="F403" t="s">
        <v>13</v>
      </c>
      <c r="G403" t="s">
        <v>55</v>
      </c>
      <c r="H403" s="3">
        <v>13344</v>
      </c>
      <c r="I403" t="s">
        <v>23</v>
      </c>
    </row>
    <row r="404" spans="1:9" x14ac:dyDescent="0.35">
      <c r="A404" t="s">
        <v>446</v>
      </c>
      <c r="B404" s="2">
        <v>46266</v>
      </c>
      <c r="C404" t="s">
        <v>447</v>
      </c>
      <c r="D404" t="s">
        <v>25</v>
      </c>
      <c r="E404" t="s">
        <v>34</v>
      </c>
      <c r="F404" t="s">
        <v>40</v>
      </c>
      <c r="G404" t="s">
        <v>29</v>
      </c>
      <c r="H404" s="3">
        <v>6085</v>
      </c>
      <c r="I404" t="s">
        <v>19</v>
      </c>
    </row>
    <row r="405" spans="1:9" x14ac:dyDescent="0.35">
      <c r="A405" t="s">
        <v>448</v>
      </c>
      <c r="B405" s="2">
        <v>46266</v>
      </c>
      <c r="C405" t="s">
        <v>447</v>
      </c>
      <c r="D405" t="s">
        <v>31</v>
      </c>
      <c r="E405" t="s">
        <v>12</v>
      </c>
      <c r="F405" t="s">
        <v>22</v>
      </c>
      <c r="G405" t="s">
        <v>38</v>
      </c>
      <c r="H405" s="3">
        <v>2521</v>
      </c>
      <c r="I405" t="s">
        <v>15</v>
      </c>
    </row>
    <row r="406" spans="1:9" x14ac:dyDescent="0.35">
      <c r="A406" t="s">
        <v>449</v>
      </c>
      <c r="B406" s="2">
        <v>46266</v>
      </c>
      <c r="C406" t="s">
        <v>447</v>
      </c>
      <c r="D406" t="s">
        <v>25</v>
      </c>
      <c r="E406" t="s">
        <v>12</v>
      </c>
      <c r="F406" t="s">
        <v>35</v>
      </c>
      <c r="G406" t="s">
        <v>47</v>
      </c>
      <c r="H406" s="3">
        <v>2755</v>
      </c>
      <c r="I406" t="s">
        <v>15</v>
      </c>
    </row>
    <row r="407" spans="1:9" x14ac:dyDescent="0.35">
      <c r="A407" t="s">
        <v>450</v>
      </c>
      <c r="B407" s="2">
        <v>46267</v>
      </c>
      <c r="C407" t="s">
        <v>447</v>
      </c>
      <c r="D407" t="s">
        <v>25</v>
      </c>
      <c r="E407" t="s">
        <v>12</v>
      </c>
      <c r="F407" t="s">
        <v>40</v>
      </c>
      <c r="G407" t="s">
        <v>47</v>
      </c>
      <c r="H407" s="3">
        <v>5813</v>
      </c>
      <c r="I407" t="s">
        <v>19</v>
      </c>
    </row>
    <row r="408" spans="1:9" x14ac:dyDescent="0.35">
      <c r="A408" t="s">
        <v>451</v>
      </c>
      <c r="B408" s="2">
        <v>46267</v>
      </c>
      <c r="C408" t="s">
        <v>447</v>
      </c>
      <c r="D408" t="s">
        <v>31</v>
      </c>
      <c r="E408" t="s">
        <v>21</v>
      </c>
      <c r="F408" t="s">
        <v>40</v>
      </c>
      <c r="G408" t="s">
        <v>47</v>
      </c>
      <c r="H408" s="3">
        <v>4114</v>
      </c>
      <c r="I408" t="s">
        <v>19</v>
      </c>
    </row>
    <row r="409" spans="1:9" x14ac:dyDescent="0.35">
      <c r="A409" t="s">
        <v>452</v>
      </c>
      <c r="B409" s="2">
        <v>46268</v>
      </c>
      <c r="C409" t="s">
        <v>447</v>
      </c>
      <c r="D409" t="s">
        <v>17</v>
      </c>
      <c r="E409" t="s">
        <v>34</v>
      </c>
      <c r="F409" t="s">
        <v>13</v>
      </c>
      <c r="G409" t="s">
        <v>38</v>
      </c>
      <c r="H409" s="3">
        <v>6780</v>
      </c>
      <c r="I409" t="s">
        <v>15</v>
      </c>
    </row>
    <row r="410" spans="1:9" x14ac:dyDescent="0.35">
      <c r="A410" t="s">
        <v>453</v>
      </c>
      <c r="B410" s="2">
        <v>46268</v>
      </c>
      <c r="C410" t="s">
        <v>447</v>
      </c>
      <c r="D410" t="s">
        <v>25</v>
      </c>
      <c r="E410" t="s">
        <v>21</v>
      </c>
      <c r="F410" t="s">
        <v>43</v>
      </c>
      <c r="G410" t="s">
        <v>47</v>
      </c>
      <c r="H410" s="3">
        <v>14295</v>
      </c>
      <c r="I410" t="s">
        <v>19</v>
      </c>
    </row>
    <row r="411" spans="1:9" x14ac:dyDescent="0.35">
      <c r="A411" t="s">
        <v>454</v>
      </c>
      <c r="B411" s="2">
        <v>46271</v>
      </c>
      <c r="C411" t="s">
        <v>447</v>
      </c>
      <c r="D411" t="s">
        <v>17</v>
      </c>
      <c r="E411" t="s">
        <v>12</v>
      </c>
      <c r="F411" t="s">
        <v>40</v>
      </c>
      <c r="G411" t="s">
        <v>55</v>
      </c>
      <c r="H411" s="3">
        <v>3246</v>
      </c>
      <c r="I411" t="s">
        <v>19</v>
      </c>
    </row>
    <row r="412" spans="1:9" x14ac:dyDescent="0.35">
      <c r="A412" t="s">
        <v>455</v>
      </c>
      <c r="B412" s="2">
        <v>46272</v>
      </c>
      <c r="C412" t="s">
        <v>447</v>
      </c>
      <c r="D412" t="s">
        <v>17</v>
      </c>
      <c r="E412" t="s">
        <v>12</v>
      </c>
      <c r="F412" t="s">
        <v>43</v>
      </c>
      <c r="G412" t="s">
        <v>18</v>
      </c>
      <c r="H412" s="3">
        <v>4521</v>
      </c>
      <c r="I412" t="s">
        <v>19</v>
      </c>
    </row>
    <row r="413" spans="1:9" x14ac:dyDescent="0.35">
      <c r="A413" t="s">
        <v>456</v>
      </c>
      <c r="B413" s="2">
        <v>46272</v>
      </c>
      <c r="C413" t="s">
        <v>447</v>
      </c>
      <c r="D413" t="s">
        <v>11</v>
      </c>
      <c r="E413" t="s">
        <v>21</v>
      </c>
      <c r="F413" t="s">
        <v>35</v>
      </c>
      <c r="G413" t="s">
        <v>41</v>
      </c>
      <c r="H413" s="3">
        <v>5248</v>
      </c>
      <c r="I413" t="s">
        <v>23</v>
      </c>
    </row>
    <row r="414" spans="1:9" x14ac:dyDescent="0.35">
      <c r="A414" t="s">
        <v>457</v>
      </c>
      <c r="B414" s="2">
        <v>46273</v>
      </c>
      <c r="C414" t="s">
        <v>447</v>
      </c>
      <c r="D414" t="s">
        <v>17</v>
      </c>
      <c r="E414" t="s">
        <v>12</v>
      </c>
      <c r="F414" t="s">
        <v>13</v>
      </c>
      <c r="G414" t="s">
        <v>38</v>
      </c>
      <c r="H414" s="3">
        <v>10563</v>
      </c>
      <c r="I414" t="s">
        <v>23</v>
      </c>
    </row>
    <row r="415" spans="1:9" x14ac:dyDescent="0.35">
      <c r="A415" t="s">
        <v>458</v>
      </c>
      <c r="B415" s="2">
        <v>46273</v>
      </c>
      <c r="C415" t="s">
        <v>447</v>
      </c>
      <c r="D415" t="s">
        <v>25</v>
      </c>
      <c r="E415" t="s">
        <v>34</v>
      </c>
      <c r="F415" t="s">
        <v>52</v>
      </c>
      <c r="G415" t="s">
        <v>47</v>
      </c>
      <c r="H415" s="3">
        <v>6736</v>
      </c>
      <c r="I415" t="s">
        <v>15</v>
      </c>
    </row>
    <row r="416" spans="1:9" x14ac:dyDescent="0.35">
      <c r="A416" t="s">
        <v>459</v>
      </c>
      <c r="B416" s="2">
        <v>46274</v>
      </c>
      <c r="C416" t="s">
        <v>447</v>
      </c>
      <c r="D416" t="s">
        <v>31</v>
      </c>
      <c r="E416" t="s">
        <v>21</v>
      </c>
      <c r="F416" t="s">
        <v>37</v>
      </c>
      <c r="G416" t="s">
        <v>55</v>
      </c>
      <c r="H416" s="3">
        <v>14348</v>
      </c>
      <c r="I416" t="s">
        <v>19</v>
      </c>
    </row>
    <row r="417" spans="1:9" x14ac:dyDescent="0.35">
      <c r="A417" t="s">
        <v>460</v>
      </c>
      <c r="B417" s="2">
        <v>46274</v>
      </c>
      <c r="C417" t="s">
        <v>447</v>
      </c>
      <c r="D417" t="s">
        <v>11</v>
      </c>
      <c r="E417" t="s">
        <v>34</v>
      </c>
      <c r="F417" t="s">
        <v>37</v>
      </c>
      <c r="G417" t="s">
        <v>41</v>
      </c>
      <c r="H417" s="3">
        <v>2059</v>
      </c>
      <c r="I417" t="s">
        <v>19</v>
      </c>
    </row>
    <row r="418" spans="1:9" x14ac:dyDescent="0.35">
      <c r="A418" t="s">
        <v>461</v>
      </c>
      <c r="B418" s="2">
        <v>46274</v>
      </c>
      <c r="C418" t="s">
        <v>447</v>
      </c>
      <c r="D418" t="s">
        <v>25</v>
      </c>
      <c r="E418" t="s">
        <v>12</v>
      </c>
      <c r="F418" t="s">
        <v>52</v>
      </c>
      <c r="G418" t="s">
        <v>38</v>
      </c>
      <c r="H418" s="3">
        <v>7750</v>
      </c>
      <c r="I418" t="s">
        <v>19</v>
      </c>
    </row>
    <row r="419" spans="1:9" x14ac:dyDescent="0.35">
      <c r="A419" t="s">
        <v>462</v>
      </c>
      <c r="B419" s="2">
        <v>46274</v>
      </c>
      <c r="C419" t="s">
        <v>447</v>
      </c>
      <c r="D419" t="s">
        <v>11</v>
      </c>
      <c r="E419" t="s">
        <v>21</v>
      </c>
      <c r="F419" t="s">
        <v>40</v>
      </c>
      <c r="G419" t="s">
        <v>29</v>
      </c>
      <c r="H419" s="3">
        <v>12861</v>
      </c>
      <c r="I419" t="s">
        <v>15</v>
      </c>
    </row>
    <row r="420" spans="1:9" x14ac:dyDescent="0.35">
      <c r="A420" t="s">
        <v>463</v>
      </c>
      <c r="B420" s="2">
        <v>46275</v>
      </c>
      <c r="C420" t="s">
        <v>447</v>
      </c>
      <c r="D420" t="s">
        <v>17</v>
      </c>
      <c r="E420" t="s">
        <v>34</v>
      </c>
      <c r="F420" t="s">
        <v>37</v>
      </c>
      <c r="G420" t="s">
        <v>47</v>
      </c>
      <c r="H420" s="3">
        <v>5804</v>
      </c>
      <c r="I420" t="s">
        <v>19</v>
      </c>
    </row>
    <row r="421" spans="1:9" x14ac:dyDescent="0.35">
      <c r="A421" t="s">
        <v>464</v>
      </c>
      <c r="B421" s="2">
        <v>46276</v>
      </c>
      <c r="C421" t="s">
        <v>447</v>
      </c>
      <c r="D421" t="s">
        <v>25</v>
      </c>
      <c r="E421" t="s">
        <v>21</v>
      </c>
      <c r="F421" t="s">
        <v>13</v>
      </c>
      <c r="G421" t="s">
        <v>55</v>
      </c>
      <c r="H421" s="3">
        <v>5339</v>
      </c>
      <c r="I421" t="s">
        <v>19</v>
      </c>
    </row>
    <row r="422" spans="1:9" x14ac:dyDescent="0.35">
      <c r="A422" t="s">
        <v>465</v>
      </c>
      <c r="B422" s="2">
        <v>46277</v>
      </c>
      <c r="C422" t="s">
        <v>447</v>
      </c>
      <c r="D422" t="s">
        <v>25</v>
      </c>
      <c r="E422" t="s">
        <v>21</v>
      </c>
      <c r="F422" t="s">
        <v>37</v>
      </c>
      <c r="G422" t="s">
        <v>47</v>
      </c>
      <c r="H422" s="3">
        <v>8988</v>
      </c>
      <c r="I422" t="s">
        <v>23</v>
      </c>
    </row>
    <row r="423" spans="1:9" x14ac:dyDescent="0.35">
      <c r="A423" t="s">
        <v>466</v>
      </c>
      <c r="B423" s="2">
        <v>46277</v>
      </c>
      <c r="C423" t="s">
        <v>447</v>
      </c>
      <c r="D423" t="s">
        <v>17</v>
      </c>
      <c r="E423" t="s">
        <v>26</v>
      </c>
      <c r="F423" t="s">
        <v>52</v>
      </c>
      <c r="G423" t="s">
        <v>47</v>
      </c>
      <c r="H423" s="3">
        <v>6320</v>
      </c>
      <c r="I423" t="s">
        <v>19</v>
      </c>
    </row>
    <row r="424" spans="1:9" x14ac:dyDescent="0.35">
      <c r="A424" t="s">
        <v>467</v>
      </c>
      <c r="B424" s="2">
        <v>46277</v>
      </c>
      <c r="C424" t="s">
        <v>447</v>
      </c>
      <c r="D424" t="s">
        <v>11</v>
      </c>
      <c r="E424" t="s">
        <v>21</v>
      </c>
      <c r="F424" t="s">
        <v>35</v>
      </c>
      <c r="G424" t="s">
        <v>47</v>
      </c>
      <c r="H424" s="3">
        <v>12759</v>
      </c>
      <c r="I424" t="s">
        <v>19</v>
      </c>
    </row>
    <row r="425" spans="1:9" x14ac:dyDescent="0.35">
      <c r="A425" t="s">
        <v>468</v>
      </c>
      <c r="B425" s="2">
        <v>46277</v>
      </c>
      <c r="C425" t="s">
        <v>447</v>
      </c>
      <c r="D425" t="s">
        <v>25</v>
      </c>
      <c r="E425" t="s">
        <v>34</v>
      </c>
      <c r="F425" t="s">
        <v>40</v>
      </c>
      <c r="G425" t="s">
        <v>14</v>
      </c>
      <c r="H425" s="3">
        <v>13112</v>
      </c>
      <c r="I425" t="s">
        <v>19</v>
      </c>
    </row>
    <row r="426" spans="1:9" x14ac:dyDescent="0.35">
      <c r="A426" t="s">
        <v>469</v>
      </c>
      <c r="B426" s="2">
        <v>46280</v>
      </c>
      <c r="C426" t="s">
        <v>447</v>
      </c>
      <c r="D426" t="s">
        <v>11</v>
      </c>
      <c r="E426" t="s">
        <v>26</v>
      </c>
      <c r="F426" t="s">
        <v>52</v>
      </c>
      <c r="G426" t="s">
        <v>32</v>
      </c>
      <c r="H426" s="3">
        <v>2812</v>
      </c>
      <c r="I426" t="s">
        <v>23</v>
      </c>
    </row>
    <row r="427" spans="1:9" x14ac:dyDescent="0.35">
      <c r="A427" t="s">
        <v>470</v>
      </c>
      <c r="B427" s="2">
        <v>46280</v>
      </c>
      <c r="C427" t="s">
        <v>447</v>
      </c>
      <c r="D427" t="s">
        <v>11</v>
      </c>
      <c r="E427" t="s">
        <v>26</v>
      </c>
      <c r="F427" t="s">
        <v>13</v>
      </c>
      <c r="G427" t="s">
        <v>29</v>
      </c>
      <c r="H427" s="3">
        <v>6909</v>
      </c>
      <c r="I427" t="s">
        <v>15</v>
      </c>
    </row>
    <row r="428" spans="1:9" x14ac:dyDescent="0.35">
      <c r="A428" t="s">
        <v>471</v>
      </c>
      <c r="B428" s="2">
        <v>46280</v>
      </c>
      <c r="C428" t="s">
        <v>447</v>
      </c>
      <c r="D428" t="s">
        <v>31</v>
      </c>
      <c r="E428" t="s">
        <v>26</v>
      </c>
      <c r="F428" t="s">
        <v>35</v>
      </c>
      <c r="G428" t="s">
        <v>32</v>
      </c>
      <c r="H428" s="3">
        <v>14827</v>
      </c>
      <c r="I428" t="s">
        <v>23</v>
      </c>
    </row>
    <row r="429" spans="1:9" x14ac:dyDescent="0.35">
      <c r="A429" t="s">
        <v>472</v>
      </c>
      <c r="B429" s="2">
        <v>46281</v>
      </c>
      <c r="C429" t="s">
        <v>447</v>
      </c>
      <c r="D429" t="s">
        <v>17</v>
      </c>
      <c r="E429" t="s">
        <v>34</v>
      </c>
      <c r="F429" t="s">
        <v>43</v>
      </c>
      <c r="G429" t="s">
        <v>18</v>
      </c>
      <c r="H429" s="3">
        <v>10490</v>
      </c>
      <c r="I429" t="s">
        <v>19</v>
      </c>
    </row>
    <row r="430" spans="1:9" x14ac:dyDescent="0.35">
      <c r="A430" t="s">
        <v>473</v>
      </c>
      <c r="B430" s="2">
        <v>46282</v>
      </c>
      <c r="C430" t="s">
        <v>447</v>
      </c>
      <c r="D430" t="s">
        <v>17</v>
      </c>
      <c r="E430" t="s">
        <v>12</v>
      </c>
      <c r="F430" t="s">
        <v>40</v>
      </c>
      <c r="G430" t="s">
        <v>14</v>
      </c>
      <c r="H430" s="3">
        <v>10348</v>
      </c>
      <c r="I430" t="s">
        <v>19</v>
      </c>
    </row>
    <row r="431" spans="1:9" x14ac:dyDescent="0.35">
      <c r="A431" t="s">
        <v>474</v>
      </c>
      <c r="B431" s="2">
        <v>46282</v>
      </c>
      <c r="C431" t="s">
        <v>447</v>
      </c>
      <c r="D431" t="s">
        <v>17</v>
      </c>
      <c r="E431" t="s">
        <v>21</v>
      </c>
      <c r="F431" t="s">
        <v>40</v>
      </c>
      <c r="G431" t="s">
        <v>29</v>
      </c>
      <c r="H431" s="3">
        <v>10976</v>
      </c>
      <c r="I431" t="s">
        <v>19</v>
      </c>
    </row>
    <row r="432" spans="1:9" x14ac:dyDescent="0.35">
      <c r="A432" t="s">
        <v>475</v>
      </c>
      <c r="B432" s="2">
        <v>46283</v>
      </c>
      <c r="C432" t="s">
        <v>447</v>
      </c>
      <c r="D432" t="s">
        <v>31</v>
      </c>
      <c r="E432" t="s">
        <v>34</v>
      </c>
      <c r="F432" t="s">
        <v>43</v>
      </c>
      <c r="G432" t="s">
        <v>41</v>
      </c>
      <c r="H432" s="3">
        <v>8243</v>
      </c>
      <c r="I432" t="s">
        <v>19</v>
      </c>
    </row>
    <row r="433" spans="1:9" x14ac:dyDescent="0.35">
      <c r="A433" t="s">
        <v>476</v>
      </c>
      <c r="B433" s="2">
        <v>46284</v>
      </c>
      <c r="C433" t="s">
        <v>447</v>
      </c>
      <c r="D433" t="s">
        <v>17</v>
      </c>
      <c r="E433" t="s">
        <v>26</v>
      </c>
      <c r="F433" t="s">
        <v>52</v>
      </c>
      <c r="G433" t="s">
        <v>41</v>
      </c>
      <c r="H433" s="3">
        <v>958</v>
      </c>
      <c r="I433" t="s">
        <v>19</v>
      </c>
    </row>
    <row r="434" spans="1:9" x14ac:dyDescent="0.35">
      <c r="A434" t="s">
        <v>477</v>
      </c>
      <c r="B434" s="2">
        <v>46285</v>
      </c>
      <c r="C434" t="s">
        <v>447</v>
      </c>
      <c r="D434" t="s">
        <v>17</v>
      </c>
      <c r="E434" t="s">
        <v>34</v>
      </c>
      <c r="F434" t="s">
        <v>28</v>
      </c>
      <c r="G434" t="s">
        <v>55</v>
      </c>
      <c r="H434" s="3">
        <v>5705</v>
      </c>
      <c r="I434" t="s">
        <v>19</v>
      </c>
    </row>
    <row r="435" spans="1:9" x14ac:dyDescent="0.35">
      <c r="A435" t="s">
        <v>478</v>
      </c>
      <c r="B435" s="2">
        <v>46285</v>
      </c>
      <c r="C435" t="s">
        <v>447</v>
      </c>
      <c r="D435" t="s">
        <v>11</v>
      </c>
      <c r="E435" t="s">
        <v>34</v>
      </c>
      <c r="F435" t="s">
        <v>13</v>
      </c>
      <c r="G435" t="s">
        <v>55</v>
      </c>
      <c r="H435" s="3">
        <v>11181</v>
      </c>
      <c r="I435" t="s">
        <v>23</v>
      </c>
    </row>
    <row r="436" spans="1:9" x14ac:dyDescent="0.35">
      <c r="A436" t="s">
        <v>479</v>
      </c>
      <c r="B436" s="2">
        <v>46286</v>
      </c>
      <c r="C436" t="s">
        <v>447</v>
      </c>
      <c r="D436" t="s">
        <v>17</v>
      </c>
      <c r="E436" t="s">
        <v>34</v>
      </c>
      <c r="F436" t="s">
        <v>13</v>
      </c>
      <c r="G436" t="s">
        <v>41</v>
      </c>
      <c r="H436" s="3">
        <v>1471</v>
      </c>
      <c r="I436" t="s">
        <v>19</v>
      </c>
    </row>
    <row r="437" spans="1:9" x14ac:dyDescent="0.35">
      <c r="A437" t="s">
        <v>480</v>
      </c>
      <c r="B437" s="2">
        <v>46286</v>
      </c>
      <c r="C437" t="s">
        <v>447</v>
      </c>
      <c r="D437" t="s">
        <v>25</v>
      </c>
      <c r="E437" t="s">
        <v>26</v>
      </c>
      <c r="F437" t="s">
        <v>37</v>
      </c>
      <c r="G437" t="s">
        <v>14</v>
      </c>
      <c r="H437" s="3">
        <v>1789</v>
      </c>
      <c r="I437" t="s">
        <v>15</v>
      </c>
    </row>
    <row r="438" spans="1:9" x14ac:dyDescent="0.35">
      <c r="A438" t="s">
        <v>481</v>
      </c>
      <c r="B438" s="2">
        <v>46288</v>
      </c>
      <c r="C438" t="s">
        <v>447</v>
      </c>
      <c r="D438" t="s">
        <v>11</v>
      </c>
      <c r="E438" t="s">
        <v>12</v>
      </c>
      <c r="F438" t="s">
        <v>28</v>
      </c>
      <c r="G438" t="s">
        <v>32</v>
      </c>
      <c r="H438" s="3">
        <v>8398</v>
      </c>
      <c r="I438" t="s">
        <v>15</v>
      </c>
    </row>
    <row r="439" spans="1:9" x14ac:dyDescent="0.35">
      <c r="A439" t="s">
        <v>482</v>
      </c>
      <c r="B439" s="2">
        <v>46288</v>
      </c>
      <c r="C439" t="s">
        <v>447</v>
      </c>
      <c r="D439" t="s">
        <v>31</v>
      </c>
      <c r="E439" t="s">
        <v>34</v>
      </c>
      <c r="F439" t="s">
        <v>52</v>
      </c>
      <c r="G439" t="s">
        <v>14</v>
      </c>
      <c r="H439" s="3">
        <v>7341</v>
      </c>
      <c r="I439" t="s">
        <v>23</v>
      </c>
    </row>
    <row r="440" spans="1:9" x14ac:dyDescent="0.35">
      <c r="A440" t="s">
        <v>483</v>
      </c>
      <c r="B440" s="2">
        <v>46289</v>
      </c>
      <c r="C440" t="s">
        <v>447</v>
      </c>
      <c r="D440" t="s">
        <v>31</v>
      </c>
      <c r="E440" t="s">
        <v>34</v>
      </c>
      <c r="F440" t="s">
        <v>37</v>
      </c>
      <c r="G440" t="s">
        <v>18</v>
      </c>
      <c r="H440" s="3">
        <v>7554</v>
      </c>
      <c r="I440" t="s">
        <v>19</v>
      </c>
    </row>
    <row r="441" spans="1:9" x14ac:dyDescent="0.35">
      <c r="A441" t="s">
        <v>484</v>
      </c>
      <c r="B441" s="2">
        <v>46290</v>
      </c>
      <c r="C441" t="s">
        <v>447</v>
      </c>
      <c r="D441" t="s">
        <v>17</v>
      </c>
      <c r="E441" t="s">
        <v>21</v>
      </c>
      <c r="F441" t="s">
        <v>40</v>
      </c>
      <c r="G441" t="s">
        <v>29</v>
      </c>
      <c r="H441" s="3">
        <v>7431</v>
      </c>
      <c r="I441" t="s">
        <v>19</v>
      </c>
    </row>
    <row r="442" spans="1:9" x14ac:dyDescent="0.35">
      <c r="A442" t="s">
        <v>485</v>
      </c>
      <c r="B442" s="2">
        <v>46290</v>
      </c>
      <c r="C442" t="s">
        <v>447</v>
      </c>
      <c r="D442" t="s">
        <v>25</v>
      </c>
      <c r="E442" t="s">
        <v>26</v>
      </c>
      <c r="F442" t="s">
        <v>52</v>
      </c>
      <c r="G442" t="s">
        <v>41</v>
      </c>
      <c r="H442" s="3">
        <v>12878</v>
      </c>
      <c r="I442" t="s">
        <v>15</v>
      </c>
    </row>
    <row r="443" spans="1:9" x14ac:dyDescent="0.35">
      <c r="A443" t="s">
        <v>486</v>
      </c>
      <c r="B443" s="2">
        <v>46291</v>
      </c>
      <c r="C443" t="s">
        <v>447</v>
      </c>
      <c r="D443" t="s">
        <v>11</v>
      </c>
      <c r="E443" t="s">
        <v>21</v>
      </c>
      <c r="F443" t="s">
        <v>52</v>
      </c>
      <c r="G443" t="s">
        <v>29</v>
      </c>
      <c r="H443" s="3">
        <v>3998</v>
      </c>
      <c r="I443" t="s">
        <v>19</v>
      </c>
    </row>
    <row r="444" spans="1:9" x14ac:dyDescent="0.35">
      <c r="A444" t="s">
        <v>487</v>
      </c>
      <c r="B444" s="2">
        <v>46291</v>
      </c>
      <c r="C444" t="s">
        <v>447</v>
      </c>
      <c r="D444" t="s">
        <v>31</v>
      </c>
      <c r="E444" t="s">
        <v>12</v>
      </c>
      <c r="F444" t="s">
        <v>37</v>
      </c>
      <c r="G444" t="s">
        <v>32</v>
      </c>
      <c r="H444" s="3">
        <v>1158</v>
      </c>
      <c r="I444" t="s">
        <v>19</v>
      </c>
    </row>
    <row r="445" spans="1:9" x14ac:dyDescent="0.35">
      <c r="A445" t="s">
        <v>488</v>
      </c>
      <c r="B445" s="2">
        <v>46292</v>
      </c>
      <c r="C445" t="s">
        <v>447</v>
      </c>
      <c r="D445" t="s">
        <v>25</v>
      </c>
      <c r="E445" t="s">
        <v>34</v>
      </c>
      <c r="F445" t="s">
        <v>22</v>
      </c>
      <c r="G445" t="s">
        <v>32</v>
      </c>
      <c r="H445" s="3">
        <v>8703</v>
      </c>
      <c r="I445" t="s">
        <v>19</v>
      </c>
    </row>
    <row r="446" spans="1:9" x14ac:dyDescent="0.35">
      <c r="A446" t="s">
        <v>489</v>
      </c>
      <c r="B446" s="2">
        <v>46292</v>
      </c>
      <c r="C446" t="s">
        <v>447</v>
      </c>
      <c r="D446" t="s">
        <v>31</v>
      </c>
      <c r="E446" t="s">
        <v>26</v>
      </c>
      <c r="F446" t="s">
        <v>40</v>
      </c>
      <c r="G446" t="s">
        <v>32</v>
      </c>
      <c r="H446" s="3">
        <v>5103</v>
      </c>
      <c r="I446" t="s">
        <v>23</v>
      </c>
    </row>
    <row r="447" spans="1:9" x14ac:dyDescent="0.35">
      <c r="A447" t="s">
        <v>490</v>
      </c>
      <c r="B447" s="2">
        <v>46292</v>
      </c>
      <c r="C447" t="s">
        <v>447</v>
      </c>
      <c r="D447" t="s">
        <v>11</v>
      </c>
      <c r="E447" t="s">
        <v>12</v>
      </c>
      <c r="F447" t="s">
        <v>13</v>
      </c>
      <c r="G447" t="s">
        <v>14</v>
      </c>
      <c r="H447" s="3">
        <v>301</v>
      </c>
      <c r="I447" t="s">
        <v>19</v>
      </c>
    </row>
    <row r="448" spans="1:9" x14ac:dyDescent="0.35">
      <c r="A448" t="s">
        <v>491</v>
      </c>
      <c r="B448" s="2">
        <v>46293</v>
      </c>
      <c r="C448" t="s">
        <v>447</v>
      </c>
      <c r="D448" t="s">
        <v>25</v>
      </c>
      <c r="E448" t="s">
        <v>26</v>
      </c>
      <c r="F448" t="s">
        <v>40</v>
      </c>
      <c r="G448" t="s">
        <v>18</v>
      </c>
      <c r="H448" s="3">
        <v>5966</v>
      </c>
      <c r="I448" t="s">
        <v>19</v>
      </c>
    </row>
    <row r="449" spans="1:9" x14ac:dyDescent="0.35">
      <c r="A449" t="s">
        <v>492</v>
      </c>
      <c r="B449" s="2">
        <v>46294</v>
      </c>
      <c r="C449" t="s">
        <v>447</v>
      </c>
      <c r="D449" t="s">
        <v>11</v>
      </c>
      <c r="E449" t="s">
        <v>26</v>
      </c>
      <c r="F449" t="s">
        <v>13</v>
      </c>
      <c r="G449" t="s">
        <v>14</v>
      </c>
      <c r="H449" s="3">
        <v>9322</v>
      </c>
      <c r="I449" t="s">
        <v>19</v>
      </c>
    </row>
    <row r="450" spans="1:9" x14ac:dyDescent="0.35">
      <c r="A450" t="s">
        <v>493</v>
      </c>
      <c r="B450" s="2">
        <v>46294</v>
      </c>
      <c r="C450" t="s">
        <v>447</v>
      </c>
      <c r="D450" t="s">
        <v>11</v>
      </c>
      <c r="E450" t="s">
        <v>21</v>
      </c>
      <c r="F450" t="s">
        <v>37</v>
      </c>
      <c r="G450" t="s">
        <v>29</v>
      </c>
      <c r="H450" s="3">
        <v>4515</v>
      </c>
      <c r="I450" t="s">
        <v>15</v>
      </c>
    </row>
    <row r="451" spans="1:9" x14ac:dyDescent="0.35">
      <c r="A451" t="s">
        <v>494</v>
      </c>
      <c r="B451" s="2">
        <v>46295</v>
      </c>
      <c r="C451" t="s">
        <v>447</v>
      </c>
      <c r="D451" t="s">
        <v>31</v>
      </c>
      <c r="E451" t="s">
        <v>34</v>
      </c>
      <c r="F451" t="s">
        <v>28</v>
      </c>
      <c r="G451" t="s">
        <v>29</v>
      </c>
      <c r="H451" s="3">
        <v>6789</v>
      </c>
      <c r="I451" t="s">
        <v>15</v>
      </c>
    </row>
    <row r="452" spans="1:9" x14ac:dyDescent="0.35">
      <c r="A452" t="s">
        <v>495</v>
      </c>
      <c r="B452" s="2">
        <v>46295</v>
      </c>
      <c r="C452" t="s">
        <v>447</v>
      </c>
      <c r="D452" t="s">
        <v>25</v>
      </c>
      <c r="E452" t="s">
        <v>34</v>
      </c>
      <c r="F452" t="s">
        <v>52</v>
      </c>
      <c r="G452" t="s">
        <v>32</v>
      </c>
      <c r="H452" s="3">
        <v>10888</v>
      </c>
      <c r="I452" t="s">
        <v>19</v>
      </c>
    </row>
    <row r="453" spans="1:9" x14ac:dyDescent="0.35">
      <c r="A453" t="s">
        <v>496</v>
      </c>
      <c r="B453" s="2">
        <v>46296</v>
      </c>
      <c r="C453" t="s">
        <v>497</v>
      </c>
      <c r="D453" t="s">
        <v>17</v>
      </c>
      <c r="E453" t="s">
        <v>34</v>
      </c>
      <c r="F453" t="s">
        <v>22</v>
      </c>
      <c r="G453" t="s">
        <v>18</v>
      </c>
      <c r="H453" s="3">
        <v>14909</v>
      </c>
      <c r="I453" t="s">
        <v>19</v>
      </c>
    </row>
    <row r="454" spans="1:9" x14ac:dyDescent="0.35">
      <c r="A454" t="s">
        <v>498</v>
      </c>
      <c r="B454" s="2">
        <v>46296</v>
      </c>
      <c r="C454" t="s">
        <v>497</v>
      </c>
      <c r="D454" t="s">
        <v>31</v>
      </c>
      <c r="E454" t="s">
        <v>34</v>
      </c>
      <c r="F454" t="s">
        <v>28</v>
      </c>
      <c r="G454" t="s">
        <v>41</v>
      </c>
      <c r="H454" s="3">
        <v>4544</v>
      </c>
      <c r="I454" t="s">
        <v>19</v>
      </c>
    </row>
    <row r="455" spans="1:9" x14ac:dyDescent="0.35">
      <c r="A455" t="s">
        <v>499</v>
      </c>
      <c r="B455" s="2">
        <v>46297</v>
      </c>
      <c r="C455" t="s">
        <v>497</v>
      </c>
      <c r="D455" t="s">
        <v>31</v>
      </c>
      <c r="E455" t="s">
        <v>21</v>
      </c>
      <c r="F455" t="s">
        <v>52</v>
      </c>
      <c r="G455" t="s">
        <v>47</v>
      </c>
      <c r="H455" s="3">
        <v>6251</v>
      </c>
      <c r="I455" t="s">
        <v>19</v>
      </c>
    </row>
    <row r="456" spans="1:9" x14ac:dyDescent="0.35">
      <c r="A456" t="s">
        <v>500</v>
      </c>
      <c r="B456" s="2">
        <v>46297</v>
      </c>
      <c r="C456" t="s">
        <v>497</v>
      </c>
      <c r="D456" t="s">
        <v>11</v>
      </c>
      <c r="E456" t="s">
        <v>26</v>
      </c>
      <c r="F456" t="s">
        <v>28</v>
      </c>
      <c r="G456" t="s">
        <v>18</v>
      </c>
      <c r="H456" s="3">
        <v>10403</v>
      </c>
      <c r="I456" t="s">
        <v>19</v>
      </c>
    </row>
    <row r="457" spans="1:9" x14ac:dyDescent="0.35">
      <c r="A457" t="s">
        <v>501</v>
      </c>
      <c r="B457" s="2">
        <v>46297</v>
      </c>
      <c r="C457" t="s">
        <v>497</v>
      </c>
      <c r="D457" t="s">
        <v>25</v>
      </c>
      <c r="E457" t="s">
        <v>26</v>
      </c>
      <c r="F457" t="s">
        <v>37</v>
      </c>
      <c r="G457" t="s">
        <v>14</v>
      </c>
      <c r="H457" s="3">
        <v>6043</v>
      </c>
      <c r="I457" t="s">
        <v>19</v>
      </c>
    </row>
    <row r="458" spans="1:9" x14ac:dyDescent="0.35">
      <c r="A458" t="s">
        <v>502</v>
      </c>
      <c r="B458" s="2">
        <v>46297</v>
      </c>
      <c r="C458" t="s">
        <v>497</v>
      </c>
      <c r="D458" t="s">
        <v>11</v>
      </c>
      <c r="E458" t="s">
        <v>21</v>
      </c>
      <c r="F458" t="s">
        <v>22</v>
      </c>
      <c r="G458" t="s">
        <v>29</v>
      </c>
      <c r="H458" s="3">
        <v>10143</v>
      </c>
      <c r="I458" t="s">
        <v>15</v>
      </c>
    </row>
    <row r="459" spans="1:9" x14ac:dyDescent="0.35">
      <c r="A459" t="s">
        <v>503</v>
      </c>
      <c r="B459" s="2">
        <v>46298</v>
      </c>
      <c r="C459" t="s">
        <v>497</v>
      </c>
      <c r="D459" t="s">
        <v>11</v>
      </c>
      <c r="E459" t="s">
        <v>26</v>
      </c>
      <c r="F459" t="s">
        <v>43</v>
      </c>
      <c r="G459" t="s">
        <v>32</v>
      </c>
      <c r="H459" s="3">
        <v>8714</v>
      </c>
      <c r="I459" t="s">
        <v>19</v>
      </c>
    </row>
    <row r="460" spans="1:9" x14ac:dyDescent="0.35">
      <c r="A460" t="s">
        <v>504</v>
      </c>
      <c r="B460" s="2">
        <v>46299</v>
      </c>
      <c r="C460" t="s">
        <v>497</v>
      </c>
      <c r="D460" t="s">
        <v>11</v>
      </c>
      <c r="E460" t="s">
        <v>26</v>
      </c>
      <c r="F460" t="s">
        <v>40</v>
      </c>
      <c r="G460" t="s">
        <v>41</v>
      </c>
      <c r="H460" s="3">
        <v>2317</v>
      </c>
      <c r="I460" t="s">
        <v>19</v>
      </c>
    </row>
    <row r="461" spans="1:9" x14ac:dyDescent="0.35">
      <c r="A461" t="s">
        <v>505</v>
      </c>
      <c r="B461" s="2">
        <v>46299</v>
      </c>
      <c r="C461" t="s">
        <v>497</v>
      </c>
      <c r="D461" t="s">
        <v>17</v>
      </c>
      <c r="E461" t="s">
        <v>26</v>
      </c>
      <c r="F461" t="s">
        <v>37</v>
      </c>
      <c r="G461" t="s">
        <v>18</v>
      </c>
      <c r="H461" s="3">
        <v>11901</v>
      </c>
      <c r="I461" t="s">
        <v>19</v>
      </c>
    </row>
    <row r="462" spans="1:9" x14ac:dyDescent="0.35">
      <c r="A462" t="s">
        <v>506</v>
      </c>
      <c r="B462" s="2">
        <v>46299</v>
      </c>
      <c r="C462" t="s">
        <v>497</v>
      </c>
      <c r="D462" t="s">
        <v>11</v>
      </c>
      <c r="E462" t="s">
        <v>34</v>
      </c>
      <c r="F462" t="s">
        <v>43</v>
      </c>
      <c r="G462" t="s">
        <v>41</v>
      </c>
      <c r="H462" s="3">
        <v>13132</v>
      </c>
      <c r="I462" t="s">
        <v>19</v>
      </c>
    </row>
    <row r="463" spans="1:9" x14ac:dyDescent="0.35">
      <c r="A463" t="s">
        <v>507</v>
      </c>
      <c r="B463" s="2">
        <v>46301</v>
      </c>
      <c r="C463" t="s">
        <v>497</v>
      </c>
      <c r="D463" t="s">
        <v>31</v>
      </c>
      <c r="E463" t="s">
        <v>26</v>
      </c>
      <c r="F463" t="s">
        <v>28</v>
      </c>
      <c r="G463" t="s">
        <v>38</v>
      </c>
      <c r="H463" s="3">
        <v>4200</v>
      </c>
      <c r="I463" t="s">
        <v>19</v>
      </c>
    </row>
    <row r="464" spans="1:9" x14ac:dyDescent="0.35">
      <c r="A464" t="s">
        <v>508</v>
      </c>
      <c r="B464" s="2">
        <v>46303</v>
      </c>
      <c r="C464" t="s">
        <v>497</v>
      </c>
      <c r="D464" t="s">
        <v>11</v>
      </c>
      <c r="E464" t="s">
        <v>26</v>
      </c>
      <c r="F464" t="s">
        <v>52</v>
      </c>
      <c r="G464" t="s">
        <v>55</v>
      </c>
      <c r="H464" s="3">
        <v>3362</v>
      </c>
      <c r="I464" t="s">
        <v>15</v>
      </c>
    </row>
    <row r="465" spans="1:9" x14ac:dyDescent="0.35">
      <c r="A465" t="s">
        <v>509</v>
      </c>
      <c r="B465" s="2">
        <v>46303</v>
      </c>
      <c r="C465" t="s">
        <v>497</v>
      </c>
      <c r="D465" t="s">
        <v>11</v>
      </c>
      <c r="E465" t="s">
        <v>12</v>
      </c>
      <c r="F465" t="s">
        <v>37</v>
      </c>
      <c r="G465" t="s">
        <v>29</v>
      </c>
      <c r="H465" s="3">
        <v>14749</v>
      </c>
      <c r="I465" t="s">
        <v>19</v>
      </c>
    </row>
    <row r="466" spans="1:9" x14ac:dyDescent="0.35">
      <c r="A466" t="s">
        <v>510</v>
      </c>
      <c r="B466" s="2">
        <v>46304</v>
      </c>
      <c r="C466" t="s">
        <v>497</v>
      </c>
      <c r="D466" t="s">
        <v>17</v>
      </c>
      <c r="E466" t="s">
        <v>12</v>
      </c>
      <c r="F466" t="s">
        <v>35</v>
      </c>
      <c r="G466" t="s">
        <v>29</v>
      </c>
      <c r="H466" s="3">
        <v>6716</v>
      </c>
      <c r="I466" t="s">
        <v>19</v>
      </c>
    </row>
    <row r="467" spans="1:9" x14ac:dyDescent="0.35">
      <c r="A467" t="s">
        <v>511</v>
      </c>
      <c r="B467" s="2">
        <v>46304</v>
      </c>
      <c r="C467" t="s">
        <v>497</v>
      </c>
      <c r="D467" t="s">
        <v>17</v>
      </c>
      <c r="E467" t="s">
        <v>21</v>
      </c>
      <c r="F467" t="s">
        <v>28</v>
      </c>
      <c r="G467" t="s">
        <v>29</v>
      </c>
      <c r="H467" s="3">
        <v>5814</v>
      </c>
      <c r="I467" t="s">
        <v>19</v>
      </c>
    </row>
    <row r="468" spans="1:9" x14ac:dyDescent="0.35">
      <c r="A468" t="s">
        <v>512</v>
      </c>
      <c r="B468" s="2">
        <v>46304</v>
      </c>
      <c r="C468" t="s">
        <v>497</v>
      </c>
      <c r="D468" t="s">
        <v>31</v>
      </c>
      <c r="E468" t="s">
        <v>21</v>
      </c>
      <c r="F468" t="s">
        <v>28</v>
      </c>
      <c r="G468" t="s">
        <v>38</v>
      </c>
      <c r="H468" s="3">
        <v>7501</v>
      </c>
      <c r="I468" t="s">
        <v>19</v>
      </c>
    </row>
    <row r="469" spans="1:9" x14ac:dyDescent="0.35">
      <c r="A469" t="s">
        <v>513</v>
      </c>
      <c r="B469" s="2">
        <v>46305</v>
      </c>
      <c r="C469" t="s">
        <v>497</v>
      </c>
      <c r="D469" t="s">
        <v>11</v>
      </c>
      <c r="E469" t="s">
        <v>34</v>
      </c>
      <c r="F469" t="s">
        <v>37</v>
      </c>
      <c r="G469" t="s">
        <v>14</v>
      </c>
      <c r="H469" s="3">
        <v>1577</v>
      </c>
      <c r="I469" t="s">
        <v>19</v>
      </c>
    </row>
    <row r="470" spans="1:9" x14ac:dyDescent="0.35">
      <c r="A470" t="s">
        <v>514</v>
      </c>
      <c r="B470" s="2">
        <v>46306</v>
      </c>
      <c r="C470" t="s">
        <v>497</v>
      </c>
      <c r="D470" t="s">
        <v>17</v>
      </c>
      <c r="E470" t="s">
        <v>12</v>
      </c>
      <c r="F470" t="s">
        <v>13</v>
      </c>
      <c r="G470" t="s">
        <v>29</v>
      </c>
      <c r="H470" s="3">
        <v>3193</v>
      </c>
      <c r="I470" t="s">
        <v>19</v>
      </c>
    </row>
    <row r="471" spans="1:9" x14ac:dyDescent="0.35">
      <c r="A471" t="s">
        <v>515</v>
      </c>
      <c r="B471" s="2">
        <v>46307</v>
      </c>
      <c r="C471" t="s">
        <v>497</v>
      </c>
      <c r="D471" t="s">
        <v>17</v>
      </c>
      <c r="E471" t="s">
        <v>26</v>
      </c>
      <c r="F471" t="s">
        <v>35</v>
      </c>
      <c r="G471" t="s">
        <v>29</v>
      </c>
      <c r="H471" s="3">
        <v>11820</v>
      </c>
      <c r="I471" t="s">
        <v>23</v>
      </c>
    </row>
    <row r="472" spans="1:9" x14ac:dyDescent="0.35">
      <c r="A472" t="s">
        <v>516</v>
      </c>
      <c r="B472" s="2">
        <v>46308</v>
      </c>
      <c r="C472" t="s">
        <v>497</v>
      </c>
      <c r="D472" t="s">
        <v>17</v>
      </c>
      <c r="E472" t="s">
        <v>34</v>
      </c>
      <c r="F472" t="s">
        <v>43</v>
      </c>
      <c r="G472" t="s">
        <v>14</v>
      </c>
      <c r="H472" s="3">
        <v>8445</v>
      </c>
      <c r="I472" t="s">
        <v>15</v>
      </c>
    </row>
    <row r="473" spans="1:9" x14ac:dyDescent="0.35">
      <c r="A473" t="s">
        <v>517</v>
      </c>
      <c r="B473" s="2">
        <v>46308</v>
      </c>
      <c r="C473" t="s">
        <v>497</v>
      </c>
      <c r="D473" t="s">
        <v>17</v>
      </c>
      <c r="E473" t="s">
        <v>34</v>
      </c>
      <c r="F473" t="s">
        <v>28</v>
      </c>
      <c r="G473" t="s">
        <v>14</v>
      </c>
      <c r="H473" s="3">
        <v>1529</v>
      </c>
      <c r="I473" t="s">
        <v>19</v>
      </c>
    </row>
    <row r="474" spans="1:9" x14ac:dyDescent="0.35">
      <c r="A474" t="s">
        <v>518</v>
      </c>
      <c r="B474" s="2">
        <v>46308</v>
      </c>
      <c r="C474" t="s">
        <v>497</v>
      </c>
      <c r="D474" t="s">
        <v>17</v>
      </c>
      <c r="E474" t="s">
        <v>26</v>
      </c>
      <c r="F474" t="s">
        <v>28</v>
      </c>
      <c r="G474" t="s">
        <v>47</v>
      </c>
      <c r="H474" s="3">
        <v>2246</v>
      </c>
      <c r="I474" t="s">
        <v>15</v>
      </c>
    </row>
    <row r="475" spans="1:9" x14ac:dyDescent="0.35">
      <c r="A475" t="s">
        <v>519</v>
      </c>
      <c r="B475" s="2">
        <v>46309</v>
      </c>
      <c r="C475" t="s">
        <v>497</v>
      </c>
      <c r="D475" t="s">
        <v>25</v>
      </c>
      <c r="E475" t="s">
        <v>34</v>
      </c>
      <c r="F475" t="s">
        <v>40</v>
      </c>
      <c r="G475" t="s">
        <v>18</v>
      </c>
      <c r="H475" s="3">
        <v>4530</v>
      </c>
      <c r="I475" t="s">
        <v>23</v>
      </c>
    </row>
    <row r="476" spans="1:9" x14ac:dyDescent="0.35">
      <c r="A476" t="s">
        <v>520</v>
      </c>
      <c r="B476" s="2">
        <v>46310</v>
      </c>
      <c r="C476" t="s">
        <v>497</v>
      </c>
      <c r="D476" t="s">
        <v>11</v>
      </c>
      <c r="E476" t="s">
        <v>34</v>
      </c>
      <c r="F476" t="s">
        <v>35</v>
      </c>
      <c r="G476" t="s">
        <v>47</v>
      </c>
      <c r="H476" s="3">
        <v>4500</v>
      </c>
      <c r="I476" t="s">
        <v>23</v>
      </c>
    </row>
    <row r="477" spans="1:9" x14ac:dyDescent="0.35">
      <c r="A477" t="s">
        <v>521</v>
      </c>
      <c r="B477" s="2">
        <v>46310</v>
      </c>
      <c r="C477" t="s">
        <v>497</v>
      </c>
      <c r="D477" t="s">
        <v>31</v>
      </c>
      <c r="E477" t="s">
        <v>26</v>
      </c>
      <c r="F477" t="s">
        <v>43</v>
      </c>
      <c r="G477" t="s">
        <v>38</v>
      </c>
      <c r="H477" s="3">
        <v>1882</v>
      </c>
      <c r="I477" t="s">
        <v>19</v>
      </c>
    </row>
    <row r="478" spans="1:9" x14ac:dyDescent="0.35">
      <c r="A478" t="s">
        <v>522</v>
      </c>
      <c r="B478" s="2">
        <v>46310</v>
      </c>
      <c r="C478" t="s">
        <v>497</v>
      </c>
      <c r="D478" t="s">
        <v>25</v>
      </c>
      <c r="E478" t="s">
        <v>12</v>
      </c>
      <c r="F478" t="s">
        <v>35</v>
      </c>
      <c r="G478" t="s">
        <v>29</v>
      </c>
      <c r="H478" s="3">
        <v>4338</v>
      </c>
      <c r="I478" t="s">
        <v>19</v>
      </c>
    </row>
    <row r="479" spans="1:9" x14ac:dyDescent="0.35">
      <c r="A479" t="s">
        <v>523</v>
      </c>
      <c r="B479" s="2">
        <v>46311</v>
      </c>
      <c r="C479" t="s">
        <v>497</v>
      </c>
      <c r="D479" t="s">
        <v>17</v>
      </c>
      <c r="E479" t="s">
        <v>21</v>
      </c>
      <c r="F479" t="s">
        <v>40</v>
      </c>
      <c r="G479" t="s">
        <v>41</v>
      </c>
      <c r="H479" s="3">
        <v>9334</v>
      </c>
      <c r="I479" t="s">
        <v>19</v>
      </c>
    </row>
    <row r="480" spans="1:9" x14ac:dyDescent="0.35">
      <c r="A480" t="s">
        <v>524</v>
      </c>
      <c r="B480" s="2">
        <v>46311</v>
      </c>
      <c r="C480" t="s">
        <v>497</v>
      </c>
      <c r="D480" t="s">
        <v>11</v>
      </c>
      <c r="E480" t="s">
        <v>34</v>
      </c>
      <c r="F480" t="s">
        <v>40</v>
      </c>
      <c r="G480" t="s">
        <v>47</v>
      </c>
      <c r="H480" s="3">
        <v>1445</v>
      </c>
      <c r="I480" t="s">
        <v>19</v>
      </c>
    </row>
    <row r="481" spans="1:9" x14ac:dyDescent="0.35">
      <c r="A481" t="s">
        <v>525</v>
      </c>
      <c r="B481" s="2">
        <v>46311</v>
      </c>
      <c r="C481" t="s">
        <v>497</v>
      </c>
      <c r="D481" t="s">
        <v>11</v>
      </c>
      <c r="E481" t="s">
        <v>12</v>
      </c>
      <c r="F481" t="s">
        <v>52</v>
      </c>
      <c r="G481" t="s">
        <v>55</v>
      </c>
      <c r="H481" s="3">
        <v>12167</v>
      </c>
      <c r="I481" t="s">
        <v>19</v>
      </c>
    </row>
    <row r="482" spans="1:9" x14ac:dyDescent="0.35">
      <c r="A482" t="s">
        <v>526</v>
      </c>
      <c r="B482" s="2">
        <v>46312</v>
      </c>
      <c r="C482" t="s">
        <v>497</v>
      </c>
      <c r="D482" t="s">
        <v>11</v>
      </c>
      <c r="E482" t="s">
        <v>21</v>
      </c>
      <c r="F482" t="s">
        <v>22</v>
      </c>
      <c r="G482" t="s">
        <v>47</v>
      </c>
      <c r="H482" s="3">
        <v>8179</v>
      </c>
      <c r="I482" t="s">
        <v>19</v>
      </c>
    </row>
    <row r="483" spans="1:9" x14ac:dyDescent="0.35">
      <c r="A483" t="s">
        <v>527</v>
      </c>
      <c r="B483" s="2">
        <v>46312</v>
      </c>
      <c r="C483" t="s">
        <v>497</v>
      </c>
      <c r="D483" t="s">
        <v>11</v>
      </c>
      <c r="E483" t="s">
        <v>21</v>
      </c>
      <c r="F483" t="s">
        <v>43</v>
      </c>
      <c r="G483" t="s">
        <v>29</v>
      </c>
      <c r="H483" s="3">
        <v>13089</v>
      </c>
      <c r="I483" t="s">
        <v>19</v>
      </c>
    </row>
    <row r="484" spans="1:9" x14ac:dyDescent="0.35">
      <c r="A484" t="s">
        <v>528</v>
      </c>
      <c r="B484" s="2">
        <v>46313</v>
      </c>
      <c r="C484" t="s">
        <v>497</v>
      </c>
      <c r="D484" t="s">
        <v>25</v>
      </c>
      <c r="E484" t="s">
        <v>21</v>
      </c>
      <c r="F484" t="s">
        <v>37</v>
      </c>
      <c r="G484" t="s">
        <v>55</v>
      </c>
      <c r="H484" s="3">
        <v>1808</v>
      </c>
      <c r="I484" t="s">
        <v>15</v>
      </c>
    </row>
    <row r="485" spans="1:9" x14ac:dyDescent="0.35">
      <c r="A485" t="s">
        <v>529</v>
      </c>
      <c r="B485" s="2">
        <v>46313</v>
      </c>
      <c r="C485" t="s">
        <v>497</v>
      </c>
      <c r="D485" t="s">
        <v>11</v>
      </c>
      <c r="E485" t="s">
        <v>12</v>
      </c>
      <c r="F485" t="s">
        <v>52</v>
      </c>
      <c r="G485" t="s">
        <v>38</v>
      </c>
      <c r="H485" s="3">
        <v>9963</v>
      </c>
      <c r="I485" t="s">
        <v>19</v>
      </c>
    </row>
    <row r="486" spans="1:9" x14ac:dyDescent="0.35">
      <c r="A486" t="s">
        <v>530</v>
      </c>
      <c r="B486" s="2">
        <v>46313</v>
      </c>
      <c r="C486" t="s">
        <v>497</v>
      </c>
      <c r="D486" t="s">
        <v>17</v>
      </c>
      <c r="E486" t="s">
        <v>34</v>
      </c>
      <c r="F486" t="s">
        <v>13</v>
      </c>
      <c r="G486" t="s">
        <v>41</v>
      </c>
      <c r="H486" s="3">
        <v>1453</v>
      </c>
      <c r="I486" t="s">
        <v>19</v>
      </c>
    </row>
    <row r="487" spans="1:9" x14ac:dyDescent="0.35">
      <c r="A487" t="s">
        <v>531</v>
      </c>
      <c r="B487" s="2">
        <v>46314</v>
      </c>
      <c r="C487" t="s">
        <v>497</v>
      </c>
      <c r="D487" t="s">
        <v>31</v>
      </c>
      <c r="E487" t="s">
        <v>26</v>
      </c>
      <c r="F487" t="s">
        <v>35</v>
      </c>
      <c r="G487" t="s">
        <v>29</v>
      </c>
      <c r="H487" s="3">
        <v>1036</v>
      </c>
      <c r="I487" t="s">
        <v>15</v>
      </c>
    </row>
    <row r="488" spans="1:9" x14ac:dyDescent="0.35">
      <c r="A488" t="s">
        <v>532</v>
      </c>
      <c r="B488" s="2">
        <v>46316</v>
      </c>
      <c r="C488" t="s">
        <v>497</v>
      </c>
      <c r="D488" t="s">
        <v>11</v>
      </c>
      <c r="E488" t="s">
        <v>34</v>
      </c>
      <c r="F488" t="s">
        <v>37</v>
      </c>
      <c r="G488" t="s">
        <v>38</v>
      </c>
      <c r="H488" s="3">
        <v>1850</v>
      </c>
      <c r="I488" t="s">
        <v>23</v>
      </c>
    </row>
    <row r="489" spans="1:9" x14ac:dyDescent="0.35">
      <c r="A489" t="s">
        <v>533</v>
      </c>
      <c r="B489" s="2">
        <v>46316</v>
      </c>
      <c r="C489" t="s">
        <v>497</v>
      </c>
      <c r="D489" t="s">
        <v>31</v>
      </c>
      <c r="E489" t="s">
        <v>26</v>
      </c>
      <c r="F489" t="s">
        <v>52</v>
      </c>
      <c r="G489" t="s">
        <v>47</v>
      </c>
      <c r="H489" s="3">
        <v>13988</v>
      </c>
      <c r="I489" t="s">
        <v>19</v>
      </c>
    </row>
    <row r="490" spans="1:9" x14ac:dyDescent="0.35">
      <c r="A490" t="s">
        <v>534</v>
      </c>
      <c r="B490" s="2">
        <v>46316</v>
      </c>
      <c r="C490" t="s">
        <v>497</v>
      </c>
      <c r="D490" t="s">
        <v>17</v>
      </c>
      <c r="E490" t="s">
        <v>21</v>
      </c>
      <c r="F490" t="s">
        <v>22</v>
      </c>
      <c r="G490" t="s">
        <v>18</v>
      </c>
      <c r="H490" s="3">
        <v>11674</v>
      </c>
      <c r="I490" t="s">
        <v>19</v>
      </c>
    </row>
    <row r="491" spans="1:9" x14ac:dyDescent="0.35">
      <c r="A491" t="s">
        <v>535</v>
      </c>
      <c r="B491" s="2">
        <v>46316</v>
      </c>
      <c r="C491" t="s">
        <v>497</v>
      </c>
      <c r="D491" t="s">
        <v>25</v>
      </c>
      <c r="E491" t="s">
        <v>34</v>
      </c>
      <c r="F491" t="s">
        <v>37</v>
      </c>
      <c r="G491" t="s">
        <v>47</v>
      </c>
      <c r="H491" s="3">
        <v>4439</v>
      </c>
      <c r="I491" t="s">
        <v>19</v>
      </c>
    </row>
    <row r="492" spans="1:9" x14ac:dyDescent="0.35">
      <c r="A492" t="s">
        <v>536</v>
      </c>
      <c r="B492" s="2">
        <v>46317</v>
      </c>
      <c r="C492" t="s">
        <v>497</v>
      </c>
      <c r="D492" t="s">
        <v>17</v>
      </c>
      <c r="E492" t="s">
        <v>12</v>
      </c>
      <c r="F492" t="s">
        <v>40</v>
      </c>
      <c r="G492" t="s">
        <v>47</v>
      </c>
      <c r="H492" s="3">
        <v>11819</v>
      </c>
      <c r="I492" t="s">
        <v>19</v>
      </c>
    </row>
    <row r="493" spans="1:9" x14ac:dyDescent="0.35">
      <c r="A493" t="s">
        <v>537</v>
      </c>
      <c r="B493" s="2">
        <v>46318</v>
      </c>
      <c r="C493" t="s">
        <v>497</v>
      </c>
      <c r="D493" t="s">
        <v>31</v>
      </c>
      <c r="E493" t="s">
        <v>12</v>
      </c>
      <c r="F493" t="s">
        <v>43</v>
      </c>
      <c r="G493" t="s">
        <v>47</v>
      </c>
      <c r="H493" s="3">
        <v>4223</v>
      </c>
      <c r="I493" t="s">
        <v>19</v>
      </c>
    </row>
    <row r="494" spans="1:9" x14ac:dyDescent="0.35">
      <c r="A494" t="s">
        <v>538</v>
      </c>
      <c r="B494" s="2">
        <v>46319</v>
      </c>
      <c r="C494" t="s">
        <v>497</v>
      </c>
      <c r="D494" t="s">
        <v>17</v>
      </c>
      <c r="E494" t="s">
        <v>21</v>
      </c>
      <c r="F494" t="s">
        <v>22</v>
      </c>
      <c r="G494" t="s">
        <v>32</v>
      </c>
      <c r="H494" s="3">
        <v>792</v>
      </c>
      <c r="I494" t="s">
        <v>19</v>
      </c>
    </row>
    <row r="495" spans="1:9" x14ac:dyDescent="0.35">
      <c r="A495" t="s">
        <v>539</v>
      </c>
      <c r="B495" s="2">
        <v>46319</v>
      </c>
      <c r="C495" t="s">
        <v>497</v>
      </c>
      <c r="D495" t="s">
        <v>17</v>
      </c>
      <c r="E495" t="s">
        <v>12</v>
      </c>
      <c r="F495" t="s">
        <v>35</v>
      </c>
      <c r="G495" t="s">
        <v>14</v>
      </c>
      <c r="H495" s="3">
        <v>5161</v>
      </c>
      <c r="I495" t="s">
        <v>19</v>
      </c>
    </row>
    <row r="496" spans="1:9" x14ac:dyDescent="0.35">
      <c r="A496" t="s">
        <v>540</v>
      </c>
      <c r="B496" s="2">
        <v>46319</v>
      </c>
      <c r="C496" t="s">
        <v>497</v>
      </c>
      <c r="D496" t="s">
        <v>31</v>
      </c>
      <c r="E496" t="s">
        <v>12</v>
      </c>
      <c r="F496" t="s">
        <v>52</v>
      </c>
      <c r="G496" t="s">
        <v>29</v>
      </c>
      <c r="H496" s="3">
        <v>701</v>
      </c>
      <c r="I496" t="s">
        <v>15</v>
      </c>
    </row>
    <row r="497" spans="1:9" x14ac:dyDescent="0.35">
      <c r="A497" t="s">
        <v>541</v>
      </c>
      <c r="B497" s="2">
        <v>46321</v>
      </c>
      <c r="C497" t="s">
        <v>497</v>
      </c>
      <c r="D497" t="s">
        <v>17</v>
      </c>
      <c r="E497" t="s">
        <v>26</v>
      </c>
      <c r="F497" t="s">
        <v>43</v>
      </c>
      <c r="G497" t="s">
        <v>29</v>
      </c>
      <c r="H497" s="3">
        <v>2476</v>
      </c>
      <c r="I497" t="s">
        <v>15</v>
      </c>
    </row>
    <row r="498" spans="1:9" x14ac:dyDescent="0.35">
      <c r="A498" t="s">
        <v>542</v>
      </c>
      <c r="B498" s="2">
        <v>46321</v>
      </c>
      <c r="C498" t="s">
        <v>497</v>
      </c>
      <c r="D498" t="s">
        <v>11</v>
      </c>
      <c r="E498" t="s">
        <v>26</v>
      </c>
      <c r="F498" t="s">
        <v>37</v>
      </c>
      <c r="G498" t="s">
        <v>14</v>
      </c>
      <c r="H498" s="3">
        <v>5980</v>
      </c>
      <c r="I498" t="s">
        <v>19</v>
      </c>
    </row>
    <row r="499" spans="1:9" x14ac:dyDescent="0.35">
      <c r="A499" t="s">
        <v>543</v>
      </c>
      <c r="B499" s="2">
        <v>46322</v>
      </c>
      <c r="C499" t="s">
        <v>497</v>
      </c>
      <c r="D499" t="s">
        <v>31</v>
      </c>
      <c r="E499" t="s">
        <v>21</v>
      </c>
      <c r="F499" t="s">
        <v>35</v>
      </c>
      <c r="G499" t="s">
        <v>14</v>
      </c>
      <c r="H499" s="3">
        <v>6277</v>
      </c>
      <c r="I499" t="s">
        <v>23</v>
      </c>
    </row>
    <row r="500" spans="1:9" x14ac:dyDescent="0.35">
      <c r="A500" t="s">
        <v>544</v>
      </c>
      <c r="B500" s="2">
        <v>46322</v>
      </c>
      <c r="C500" t="s">
        <v>497</v>
      </c>
      <c r="D500" t="s">
        <v>31</v>
      </c>
      <c r="E500" t="s">
        <v>26</v>
      </c>
      <c r="F500" t="s">
        <v>37</v>
      </c>
      <c r="G500" t="s">
        <v>55</v>
      </c>
      <c r="H500" s="3">
        <v>2596</v>
      </c>
      <c r="I500" t="s">
        <v>19</v>
      </c>
    </row>
    <row r="501" spans="1:9" x14ac:dyDescent="0.35">
      <c r="A501" t="s">
        <v>545</v>
      </c>
      <c r="B501" s="2">
        <v>46322</v>
      </c>
      <c r="C501" t="s">
        <v>497</v>
      </c>
      <c r="D501" t="s">
        <v>11</v>
      </c>
      <c r="E501" t="s">
        <v>34</v>
      </c>
      <c r="F501" t="s">
        <v>22</v>
      </c>
      <c r="G501" t="s">
        <v>41</v>
      </c>
      <c r="H501" s="3">
        <v>8288</v>
      </c>
      <c r="I501" t="s">
        <v>19</v>
      </c>
    </row>
  </sheetData>
  <autoFilter ref="A1:I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990A-E8C1-450F-8C24-91011EA674C6}">
  <dimension ref="A3:B28"/>
  <sheetViews>
    <sheetView topLeftCell="A11" workbookViewId="0">
      <selection activeCell="K29" sqref="K29"/>
    </sheetView>
  </sheetViews>
  <sheetFormatPr defaultRowHeight="14.5" x14ac:dyDescent="0.35"/>
  <cols>
    <col min="1" max="1" width="12.36328125" bestFit="1" customWidth="1"/>
    <col min="2" max="2" width="21.453125" bestFit="1" customWidth="1"/>
  </cols>
  <sheetData>
    <row r="3" spans="1:2" x14ac:dyDescent="0.35">
      <c r="A3" s="4" t="s">
        <v>554</v>
      </c>
      <c r="B3" t="s">
        <v>556</v>
      </c>
    </row>
    <row r="4" spans="1:2" x14ac:dyDescent="0.35">
      <c r="A4" s="5" t="s">
        <v>17</v>
      </c>
      <c r="B4" s="6">
        <v>142</v>
      </c>
    </row>
    <row r="5" spans="1:2" x14ac:dyDescent="0.35">
      <c r="A5" s="5" t="s">
        <v>11</v>
      </c>
      <c r="B5" s="6">
        <v>123</v>
      </c>
    </row>
    <row r="6" spans="1:2" x14ac:dyDescent="0.35">
      <c r="A6" s="5" t="s">
        <v>25</v>
      </c>
      <c r="B6" s="6">
        <v>126</v>
      </c>
    </row>
    <row r="7" spans="1:2" x14ac:dyDescent="0.35">
      <c r="A7" s="5" t="s">
        <v>31</v>
      </c>
      <c r="B7" s="6">
        <v>109</v>
      </c>
    </row>
    <row r="8" spans="1:2" x14ac:dyDescent="0.35">
      <c r="A8" s="5" t="s">
        <v>555</v>
      </c>
      <c r="B8" s="6">
        <v>500</v>
      </c>
    </row>
    <row r="19" spans="1:2" x14ac:dyDescent="0.35">
      <c r="A19" s="4" t="s">
        <v>554</v>
      </c>
      <c r="B19" t="s">
        <v>556</v>
      </c>
    </row>
    <row r="20" spans="1:2" x14ac:dyDescent="0.35">
      <c r="A20" s="5" t="s">
        <v>40</v>
      </c>
      <c r="B20" s="6">
        <v>63</v>
      </c>
    </row>
    <row r="21" spans="1:2" x14ac:dyDescent="0.35">
      <c r="A21" s="5" t="s">
        <v>13</v>
      </c>
      <c r="B21" s="6">
        <v>61</v>
      </c>
    </row>
    <row r="22" spans="1:2" x14ac:dyDescent="0.35">
      <c r="A22" s="5" t="s">
        <v>52</v>
      </c>
      <c r="B22" s="6">
        <v>57</v>
      </c>
    </row>
    <row r="23" spans="1:2" x14ac:dyDescent="0.35">
      <c r="A23" s="5" t="s">
        <v>35</v>
      </c>
      <c r="B23" s="6">
        <v>57</v>
      </c>
    </row>
    <row r="24" spans="1:2" x14ac:dyDescent="0.35">
      <c r="A24" s="5" t="s">
        <v>43</v>
      </c>
      <c r="B24" s="6">
        <v>61</v>
      </c>
    </row>
    <row r="25" spans="1:2" x14ac:dyDescent="0.35">
      <c r="A25" s="5" t="s">
        <v>22</v>
      </c>
      <c r="B25" s="6">
        <v>65</v>
      </c>
    </row>
    <row r="26" spans="1:2" x14ac:dyDescent="0.35">
      <c r="A26" s="5" t="s">
        <v>37</v>
      </c>
      <c r="B26" s="6">
        <v>68</v>
      </c>
    </row>
    <row r="27" spans="1:2" x14ac:dyDescent="0.35">
      <c r="A27" s="5" t="s">
        <v>28</v>
      </c>
      <c r="B27" s="6">
        <v>68</v>
      </c>
    </row>
    <row r="28" spans="1:2" x14ac:dyDescent="0.35">
      <c r="A28" s="5" t="s">
        <v>555</v>
      </c>
      <c r="B28" s="6">
        <v>500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48A0-33BA-41BB-9C92-E331C442F6E6}">
  <dimension ref="A1:AG45"/>
  <sheetViews>
    <sheetView showGridLines="0" tabSelected="1" zoomScale="57" zoomScaleNormal="57" workbookViewId="0">
      <selection activeCell="AL31" sqref="AL31"/>
    </sheetView>
  </sheetViews>
  <sheetFormatPr defaultRowHeight="14.5" x14ac:dyDescent="0.35"/>
  <cols>
    <col min="1" max="1" width="33.54296875" bestFit="1" customWidth="1"/>
    <col min="2" max="2" width="18.90625" bestFit="1" customWidth="1"/>
  </cols>
  <sheetData>
    <row r="1" spans="1:33" ht="18.5" x14ac:dyDescent="0.45">
      <c r="A1" s="10"/>
      <c r="B1" s="10"/>
      <c r="C1" s="10"/>
      <c r="D1" s="10"/>
      <c r="E1" s="10"/>
      <c r="F1" s="10"/>
      <c r="G1" s="10"/>
      <c r="H1" s="10"/>
      <c r="I1" s="11"/>
      <c r="J1" s="11"/>
      <c r="K1" s="7"/>
      <c r="L1" s="8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21" x14ac:dyDescent="0.5">
      <c r="A2" s="12" t="s">
        <v>546</v>
      </c>
      <c r="B2" s="13">
        <f>SUM(UPI_Data!H1:H501)</f>
        <v>3763888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28.5" x14ac:dyDescent="0.65">
      <c r="A3" s="12" t="s">
        <v>547</v>
      </c>
      <c r="B3" s="12">
        <f>COUNTA(UPI_Data!A1:A501)</f>
        <v>501</v>
      </c>
      <c r="C3" s="10"/>
      <c r="D3" s="10"/>
      <c r="E3" s="10"/>
      <c r="F3" s="10"/>
      <c r="G3" s="10"/>
      <c r="H3" s="10"/>
      <c r="I3" s="14"/>
      <c r="J3" s="14"/>
      <c r="K3" s="14"/>
      <c r="L3" s="14"/>
      <c r="M3" s="1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21" x14ac:dyDescent="0.5">
      <c r="A4" s="12" t="s">
        <v>548</v>
      </c>
      <c r="B4" s="12">
        <f>COUNTIF(UPI_Data!I1:I501,"Success")</f>
        <v>320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21" x14ac:dyDescent="0.5">
      <c r="A5" s="12" t="s">
        <v>549</v>
      </c>
      <c r="B5" s="12">
        <f>COUNTIF(UPI_Data!I1:I501,"Failed")</f>
        <v>82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21" x14ac:dyDescent="0.5">
      <c r="A6" s="12" t="s">
        <v>550</v>
      </c>
      <c r="B6" s="12">
        <f>COUNTIF(UPI_Data!I1:I501,"Pending")</f>
        <v>98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21" x14ac:dyDescent="0.5">
      <c r="A7" s="12" t="s">
        <v>551</v>
      </c>
      <c r="B7" s="15">
        <f>IFERROR(B4/B3,0)</f>
        <v>0.63872255489021956</v>
      </c>
      <c r="C7" s="1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21" x14ac:dyDescent="0.5">
      <c r="A9" s="12" t="s">
        <v>552</v>
      </c>
      <c r="B9" s="12" t="s">
        <v>553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1" x14ac:dyDescent="0.5">
      <c r="A10" s="17" t="s">
        <v>19</v>
      </c>
      <c r="B10" s="17">
        <f>B4</f>
        <v>320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21" x14ac:dyDescent="0.5">
      <c r="A11" s="17" t="s">
        <v>15</v>
      </c>
      <c r="B11" s="17">
        <f>B5</f>
        <v>82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21" x14ac:dyDescent="0.5">
      <c r="A12" s="17" t="s">
        <v>23</v>
      </c>
      <c r="B12" s="17">
        <f>B6</f>
        <v>98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UPI_Data</vt:lpstr>
      <vt:lpstr>Sheet2</vt:lpstr>
      <vt:lpstr>Summary_Sheet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Yadav</cp:lastModifiedBy>
  <dcterms:created xsi:type="dcterms:W3CDTF">2026-10-29T10:02:46Z</dcterms:created>
  <dcterms:modified xsi:type="dcterms:W3CDTF">2026-10-29T11:21:04Z</dcterms:modified>
</cp:coreProperties>
</file>